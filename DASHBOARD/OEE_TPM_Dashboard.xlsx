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ver" sheetId="2" state="visible" r:id="rId4"/>
    <sheet name="Assumptions" sheetId="3" state="visible" r:id="rId5"/>
    <sheet name="Raw_Data" sheetId="4" state="visible" r:id="rId6"/>
    <sheet name="OEE_Calc" sheetId="5" state="visible" r:id="rId7"/>
    <sheet name="Six_Big_Losses" sheetId="6" state="visible" r:id="rId8"/>
    <sheet name="TPM_Actions" sheetId="7" state="visible" r:id="rId9"/>
    <sheet name="Results_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<sst xmlns="http://schemas.openxmlformats.org/spreadsheetml/2006/main" count="427" uniqueCount="297">
  <si>
    <t xml:space="preserve">OEE &amp; TPM Loss Reduction — Executive Dashboard</t>
  </si>
  <si>
    <t xml:space="preserve">High-Speed Packaging Line  |  12-Week Study  |  Baseline -&gt; Improved</t>
  </si>
  <si>
    <t xml:space="preserve">BASELINE OEE (Wks 1-4)</t>
  </si>
  <si>
    <t xml:space="preserve">IMPROVED OEE (Wks 9-12)</t>
  </si>
  <si>
    <t xml:space="preserve">WORLD-CLASS TARGET</t>
  </si>
  <si>
    <t xml:space="preserve">ANNUALIZED SAVINGS</t>
  </si>
  <si>
    <t xml:space="preserve">CHANGEOVER TIME CUT</t>
  </si>
  <si>
    <t xml:space="preserve">OEE Improvement &amp; TPM-Driven Loss Reduction</t>
  </si>
  <si>
    <t xml:space="preserve">High-Speed Packaging Line  |  Manufacturing Excellence / Supply Chain Project</t>
  </si>
  <si>
    <t xml:space="preserve">Project Objective</t>
  </si>
  <si>
    <t xml:space="preserve">Improve Overall Equipment Effectiveness (OEE) on a high-speed primary packaging line by</t>
  </si>
  <si>
    <t xml:space="preserve">systematically eliminating the Six Big Losses using a Total Productive Maintenance (TPM)</t>
  </si>
  <si>
    <t xml:space="preserve">framework, translating equipment reliability gains into supply chain throughput, cost, and</t>
  </si>
  <si>
    <t xml:space="preserve">service-level improvement.</t>
  </si>
  <si>
    <t xml:space="preserve">Scope</t>
  </si>
  <si>
    <t xml:space="preserve">One high-speed packaging line, ideal run rate 100 packs/minute, running 3 shifts x 24/7.</t>
  </si>
  <si>
    <t xml:space="preserve">12-week study: Weeks 1-4 Baseline diagnostics, Weeks 5-8 TPM Implementation, Weeks 9-12 Improved/Sustain.</t>
  </si>
  <si>
    <t xml:space="preserve">Methodology</t>
  </si>
  <si>
    <t xml:space="preserve">1. Baseline: capture daily downtime, output and reject data; calculate Availability, Performance, Quality, OEE.</t>
  </si>
  <si>
    <t xml:space="preserve">2. Loss analysis: Pareto the Six Big Losses to prioritize the vital few loss categories.</t>
  </si>
  <si>
    <t xml:space="preserve">3. Root cause: 5-Why / Fishbone on top losses (breakdowns, changeovers, minor stops).</t>
  </si>
  <si>
    <t xml:space="preserve">4. TPM deployment: Autonomous Maintenance, Planned Maintenance, Kaizen (SMED), Quality Maintenance, Training.</t>
  </si>
  <si>
    <t xml:space="preserve">5. Sustain: visual management, single-point lessons, and daily OEE tracking on the shop-floor dashboard.</t>
  </si>
  <si>
    <t xml:space="preserve">How to Use This Workbook</t>
  </si>
  <si>
    <t xml:space="preserve">Raw_Data      - daily input data (blue cells are the only hardcoded inputs; all else is formula-driven).</t>
  </si>
  <si>
    <t xml:space="preserve">Assumptions   - rate, cost and target assumptions used across all calculations.</t>
  </si>
  <si>
    <t xml:space="preserve">OEE_Calc      - daily Availability / Performance / Quality / OEE, plus weekly roll-up.</t>
  </si>
  <si>
    <t xml:space="preserve">Six_Big_Losses- Pareto of loss categories in equivalent minutes.</t>
  </si>
  <si>
    <t xml:space="preserve">TPM_Actions   - TPM pillar action tracker (root cause -&gt; countermeasure -&gt; owner -&gt; impact).</t>
  </si>
  <si>
    <t xml:space="preserve">Dashboard     - executive dashboard with KPIs and charts (use this in the interview walkthrough).</t>
  </si>
  <si>
    <t xml:space="preserve">Results_Summary - baseline vs improved comparison, financial impact, and talking points.</t>
  </si>
  <si>
    <t xml:space="preserve">Note: all production figures are illustrative/simulated for interview preparation, built to reflect realistic FMCG high-speed line performance.</t>
  </si>
  <si>
    <t xml:space="preserve">Assumptions &amp; Targets</t>
  </si>
  <si>
    <t xml:space="preserve">Key inputs referenced by every calculation sheet (edit the blue cells)</t>
  </si>
  <si>
    <t xml:space="preserve">Assumption</t>
  </si>
  <si>
    <t xml:space="preserve">Value</t>
  </si>
  <si>
    <t xml:space="preserve">Unit</t>
  </si>
  <si>
    <t xml:space="preserve">Notes</t>
  </si>
  <si>
    <t xml:space="preserve">Ideal Run Rate</t>
  </si>
  <si>
    <t xml:space="preserve">packs/min</t>
  </si>
  <si>
    <t xml:space="preserve">Design/nameplate speed of the high-speed line</t>
  </si>
  <si>
    <t xml:space="preserve">Planned Production Time</t>
  </si>
  <si>
    <t xml:space="preserve">min/day</t>
  </si>
  <si>
    <t xml:space="preserve">24-hr operation less scheduled breaks/meetings (60 min)</t>
  </si>
  <si>
    <t xml:space="preserve">World-Class OEE Target</t>
  </si>
  <si>
    <t xml:space="preserve">%</t>
  </si>
  <si>
    <t xml:space="preserve">Common industry benchmark (Nakajima)</t>
  </si>
  <si>
    <t xml:space="preserve">Cost per Minute of Downtime</t>
  </si>
  <si>
    <t xml:space="preserve">$/min</t>
  </si>
  <si>
    <t xml:space="preserve">Lost production value: line rate x contribution margin/unit</t>
  </si>
  <si>
    <t xml:space="preserve">Cost per Rejected Unit</t>
  </si>
  <si>
    <t xml:space="preserve">$/unit</t>
  </si>
  <si>
    <t xml:space="preserve">Material + packaging + rework cost per rejected pack</t>
  </si>
  <si>
    <t xml:space="preserve">Operating Days per Year</t>
  </si>
  <si>
    <t xml:space="preserve">days/yr</t>
  </si>
  <si>
    <t xml:space="preserve">Continuous operation, excl. planned shutdowns</t>
  </si>
  <si>
    <t xml:space="preserve">Raw Production Data</t>
  </si>
  <si>
    <t xml:space="preserve">Daily line data — blue cells are inputs; grey cells are formulas</t>
  </si>
  <si>
    <t xml:space="preserve">Date</t>
  </si>
  <si>
    <t xml:space="preserve">Week</t>
  </si>
  <si>
    <t xml:space="preserve">Phase</t>
  </si>
  <si>
    <t xml:space="preserve">Planned Time (min)</t>
  </si>
  <si>
    <t xml:space="preserve">Breakdown (min)</t>
  </si>
  <si>
    <t xml:space="preserve">Changeover/Setup (min)</t>
  </si>
  <si>
    <t xml:space="preserve">Minor Stops (min)</t>
  </si>
  <si>
    <t xml:space="preserve">Total Downtime (min)</t>
  </si>
  <si>
    <t xml:space="preserve">Operating Time (min)</t>
  </si>
  <si>
    <t xml:space="preserve">Total Pieces</t>
  </si>
  <si>
    <t xml:space="preserve">Reject Pieces</t>
  </si>
  <si>
    <t xml:space="preserve">Good Pieces</t>
  </si>
  <si>
    <t xml:space="preserve">2025-01-06</t>
  </si>
  <si>
    <t xml:space="preserve">Baseline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</si>
  <si>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</si>
  <si>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</si>
  <si>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</si>
  <si>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</si>
  <si>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</si>
  <si>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</si>
  <si>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</si>
  <si>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</si>
  <si>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</si>
  <si>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</si>
  <si>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</si>
  <si>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</si>
  <si>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</si>
  <si>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</si>
  <si>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</si>
  <si>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</si>
  <si>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</si>
  <si>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</si>
  <si>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</si>
  <si>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</si>
  <si>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</si>
  <si>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</si>
  <si>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</si>
  <si>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</si>
  <si>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</si>
  <si>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</si>
  <si>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2025-02-02</t>
  </si>
  <si>
    <t xml:space="preserve">2025-02-03</t>
  </si>
  <si>
    <t xml:space="preserve">Implementation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</si>
  <si>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</si>
  <si>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</si>
  <si>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</si>
  <si>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</si>
  <si>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</si>
  <si>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</si>
  <si>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</si>
  <si>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</si>
  <si>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</si>
  <si>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</si>
  <si>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</si>
  <si>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</si>
  <si>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</si>
  <si>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</si>
  <si>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</si>
  <si>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</si>
  <si>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</si>
  <si>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</si>
  <si>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</si>
  <si>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</si>
  <si>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</si>
  <si>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</si>
  <si>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</si>
  <si>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</si>
  <si>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</si>
  <si>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</si>
  <si>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</si>
  <si>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</si>
  <si>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Improved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</si>
  <si>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</si>
  <si>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</si>
  <si>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</si>
  <si>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</si>
  <si>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</si>
  <si>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</si>
  <si>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</si>
  <si>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</si>
  <si>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</si>
  <si>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</si>
  <si>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</si>
  <si>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</si>
  <si>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</si>
  <si>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</si>
  <si>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</si>
  <si>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</si>
  <si>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</si>
  <si>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</si>
  <si>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</si>
  <si>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</si>
  <si>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</si>
  <si>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</si>
  <si>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</si>
  <si>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</si>
  <si>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</si>
  <si>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</si>
  <si>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</si>
  <si>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OEE Calculation Engine</t>
  </si>
  <si>
    <t xml:space="preserve">Availability x Performance x Quality — fully formula-driven from Raw_Data</t>
  </si>
  <si>
    <t xml:space="preserve">Availability</t>
  </si>
  <si>
    <t xml:space="preserve">Performance</t>
  </si>
  <si>
    <t xml:space="preserve">Quality</t>
  </si>
  <si>
    <t xml:space="preserve">OEE</t>
  </si>
  <si>
    <t xml:space="preserve">Speed Loss (min)</t>
  </si>
  <si>
    <t xml:space="preserve">Quality Loss (min)</t>
  </si>
  <si>
    <t xml:space="preserve">Weekly Roll-Up</t>
  </si>
  <si>
    <t xml:space="preserve">Avg Availability</t>
  </si>
  <si>
    <t xml:space="preserve">Avg Performance</t>
  </si>
  <si>
    <t xml:space="preserve">Avg Quality</t>
  </si>
  <si>
    <t xml:space="preserve">Avg OEE</t>
  </si>
  <si>
    <t xml:space="preserve">Target</t>
  </si>
  <si>
    <t xml:space="preserve">Phase Summary</t>
  </si>
  <si>
    <t xml:space="preserve">Six Big Losses — Pareto Analysis</t>
  </si>
  <si>
    <t xml:space="preserve">Total equivalent-minutes lost by category over the 12-week study (used to prioritize TPM action)</t>
  </si>
  <si>
    <t xml:space="preserve">Loss Category</t>
  </si>
  <si>
    <t xml:space="preserve">OEE Bucket</t>
  </si>
  <si>
    <t xml:space="preserve">Total Loss (min)</t>
  </si>
  <si>
    <t xml:space="preserve">% of Total</t>
  </si>
  <si>
    <t xml:space="preserve">Cumulative %</t>
  </si>
  <si>
    <t xml:space="preserve">Reduced Speed (Speed Loss)</t>
  </si>
  <si>
    <t xml:space="preserve">Equipment Breakdowns</t>
  </si>
  <si>
    <t xml:space="preserve">Changeover / Setup</t>
  </si>
  <si>
    <t xml:space="preserve">Minor Stops / Idling</t>
  </si>
  <si>
    <t xml:space="preserve">Quality Defects / Rework</t>
  </si>
  <si>
    <t xml:space="preserve">Total</t>
  </si>
  <si>
    <t xml:space="preserve">TPM Pillar Action Tracker</t>
  </si>
  <si>
    <t xml:space="preserve">Root-cause countermeasures deployed by TPM pillar, mapped to OEE impact</t>
  </si>
  <si>
    <t xml:space="preserve">TPM Pillar</t>
  </si>
  <si>
    <t xml:space="preserve">Loss / Problem Identified</t>
  </si>
  <si>
    <t xml:space="preserve">Root Cause (5-Why)</t>
  </si>
  <si>
    <t xml:space="preserve">Countermeasure (Kaizen)</t>
  </si>
  <si>
    <t xml:space="preserve">Owner</t>
  </si>
  <si>
    <t xml:space="preserve">Target Date</t>
  </si>
  <si>
    <t xml:space="preserve">Status</t>
  </si>
  <si>
    <t xml:space="preserve">OEE Impact</t>
  </si>
  <si>
    <t xml:space="preserve">Autonomous Maintenance</t>
  </si>
  <si>
    <t xml:space="preserve">Frequent minor stops on infeed conveyor</t>
  </si>
  <si>
    <t xml:space="preserve">Operators not trained to detect early wear; no cleaning/inspection standard</t>
  </si>
  <si>
    <t xml:space="preserve">Implemented CIL (Clean-Inspect-Lubricate) checklist + operator ownership of infeed zone</t>
  </si>
  <si>
    <t xml:space="preserve">Line Operators / Shift Lead</t>
  </si>
  <si>
    <t xml:space="preserve">Week 5</t>
  </si>
  <si>
    <t xml:space="preserve">Complete</t>
  </si>
  <si>
    <t xml:space="preserve">+3.0 pp Availability</t>
  </si>
  <si>
    <t xml:space="preserve">Planned Maintenance</t>
  </si>
  <si>
    <t xml:space="preserve">Recurring gearbox breakdowns on wrapper</t>
  </si>
  <si>
    <t xml:space="preserve">Time-based PM interval too long vs. actual duty cycle; no vibration monitoring</t>
  </si>
  <si>
    <t xml:space="preserve">Shifted to condition-based maintenance; added vibration sensors + shortened PM interval</t>
  </si>
  <si>
    <t xml:space="preserve">Maintenance Engineer</t>
  </si>
  <si>
    <t xml:space="preserve">Week 6</t>
  </si>
  <si>
    <t xml:space="preserve">+4.5 pp Availability</t>
  </si>
  <si>
    <t xml:space="preserve">Focused Improvement (Kaizen)</t>
  </si>
  <si>
    <t xml:space="preserve">Long product changeovers (avg 75 min)</t>
  </si>
  <si>
    <t xml:space="preserve">Internal steps done while line stopped; tools not staged in advance</t>
  </si>
  <si>
    <t xml:space="preserve">SMED workshop: converted internal to external setup, pre-staged tool kits, one-touch clamps</t>
  </si>
  <si>
    <t xml:space="preserve">Industrial Engineer</t>
  </si>
  <si>
    <t xml:space="preserve">-40 min/changeover</t>
  </si>
  <si>
    <t xml:space="preserve">Quality Maintenance</t>
  </si>
  <si>
    <t xml:space="preserve">Reject rate elevated at wrapper seal station</t>
  </si>
  <si>
    <t xml:space="preserve">Seal temperature drift not detected until downstream inspection</t>
  </si>
  <si>
    <t xml:space="preserve">Added inline seal-integrity sensor with real-time alarm; SPC control chart on seal temp</t>
  </si>
  <si>
    <t xml:space="preserve">Quality Engineer</t>
  </si>
  <si>
    <t xml:space="preserve">Week 7</t>
  </si>
  <si>
    <t xml:space="preserve">-2.5 pp Reject Rate</t>
  </si>
  <si>
    <t xml:space="preserve">Bearing failures causing unplanned stops</t>
  </si>
  <si>
    <t xml:space="preserve">No lubrication schedule tied to run-hours; generic OEM interval used</t>
  </si>
  <si>
    <t xml:space="preserve">Built run-hour-based lubrication schedule with tagged lube points and checklist</t>
  </si>
  <si>
    <t xml:space="preserve">Maintenance Planner</t>
  </si>
  <si>
    <t xml:space="preserve">+1.8 pp Availability</t>
  </si>
  <si>
    <t xml:space="preserve">Education &amp; Training</t>
  </si>
  <si>
    <t xml:space="preserve">Inconsistent changeover execution across shifts</t>
  </si>
  <si>
    <t xml:space="preserve">No standard work / visual aid; tribal knowledge only with senior operators</t>
  </si>
  <si>
    <t xml:space="preserve">Created One-Point Lessons (OPLs) and changeover SOP with visual step cards</t>
  </si>
  <si>
    <t xml:space="preserve">Training Coordinator</t>
  </si>
  <si>
    <t xml:space="preserve">Week 8</t>
  </si>
  <si>
    <t xml:space="preserve">Reduced changeover variability</t>
  </si>
  <si>
    <t xml:space="preserve">Speed losses from micro-jams on flow wrapper</t>
  </si>
  <si>
    <t xml:space="preserve">Film tension inconsistent; guide rails mis-aligned after changeover</t>
  </si>
  <si>
    <t xml:space="preserve">Standardized film tension settings; added laser-guided rail alignment fixture</t>
  </si>
  <si>
    <t xml:space="preserve">Process Engineer</t>
  </si>
  <si>
    <t xml:space="preserve">Week 9</t>
  </si>
  <si>
    <t xml:space="preserve">+3.0 pp Performance</t>
  </si>
  <si>
    <t xml:space="preserve">Early Equipment Management</t>
  </si>
  <si>
    <t xml:space="preserve">New SKU changeovers still slow despite SMED</t>
  </si>
  <si>
    <t xml:space="preserve">Tooling for new SKUs not designed for quick-change compatibility</t>
  </si>
  <si>
    <t xml:space="preserve">Fed learnings back to engineering spec for next tooling purchase (DFM for changeover)</t>
  </si>
  <si>
    <t xml:space="preserve">Engineering Lead</t>
  </si>
  <si>
    <t xml:space="preserve">Week 10</t>
  </si>
  <si>
    <t xml:space="preserve">In Progress</t>
  </si>
  <si>
    <t xml:space="preserve">Future-proofing (no direct pp yet)</t>
  </si>
  <si>
    <t xml:space="preserve">Safety, Health &amp; Environment</t>
  </si>
  <si>
    <t xml:space="preserve">Autonomous maintenance tasks introduced new pinch-point exposure</t>
  </si>
  <si>
    <t xml:space="preserve">CIL tasks required access to guarded zones without a safe isolation step</t>
  </si>
  <si>
    <t xml:space="preserve">Added LOTO step to CIL checklist and interlock guarding on infeed access panel</t>
  </si>
  <si>
    <t xml:space="preserve">EHS Coordinator</t>
  </si>
  <si>
    <t xml:space="preserve">Zero recordable incidents maintained</t>
  </si>
  <si>
    <t xml:space="preserve">Office TPM</t>
  </si>
  <si>
    <t xml:space="preserve">Downtime data entered manually with 1-2 day lag</t>
  </si>
  <si>
    <t xml:space="preserve">No real-time link between line PLC and OEE tracking sheet</t>
  </si>
  <si>
    <t xml:space="preserve">Automated downtime/output data feed from line PLC to OEE tracker (foundation for this dashboard)</t>
  </si>
  <si>
    <t xml:space="preserve">Continuous Improvement Lead</t>
  </si>
  <si>
    <t xml:space="preserve">Real-time visibility enabled</t>
  </si>
  <si>
    <t xml:space="preserve">Results Summary &amp; Financial Impact</t>
  </si>
  <si>
    <t xml:space="preserve">Baseline vs. Improved comparison — ready for interview walkthrough</t>
  </si>
  <si>
    <t xml:space="preserve">Baseline vs. Improved Performance</t>
  </si>
  <si>
    <t xml:space="preserve">Metric</t>
  </si>
  <si>
    <t xml:space="preserve">Baseline (Wks 1-4)</t>
  </si>
  <si>
    <t xml:space="preserve">Improved (Wks 9-12)</t>
  </si>
  <si>
    <t xml:space="preserve">Change (pp / abs)</t>
  </si>
  <si>
    <t xml:space="preserve">Financial &amp; Operational Impact (Annualized)</t>
  </si>
  <si>
    <t xml:space="preserve">Impact Driver</t>
  </si>
  <si>
    <t xml:space="preserve">Calculation Basis</t>
  </si>
  <si>
    <t xml:space="preserve">Downtime Reduced (min/day)</t>
  </si>
  <si>
    <t xml:space="preserve">Avg total downtime/day, Baseline (Wks1-4) minus Improved (Wks9-12)</t>
  </si>
  <si>
    <t xml:space="preserve">Extra Good Output Capacity (packs/day)</t>
  </si>
  <si>
    <t xml:space="preserve">Avg total pieces/day, Improved minus Baseline</t>
  </si>
  <si>
    <t xml:space="preserve">Annualized Downtime Cost Avoidance</t>
  </si>
  <si>
    <t xml:space="preserve">Downtime saved/day x Cost per minute x Operating days/year</t>
  </si>
  <si>
    <t xml:space="preserve">Annualized Reject/Waste Cost Avoidance</t>
  </si>
  <si>
    <t xml:space="preserve">Reject units/day reduced x Cost per reject unit x Operating days/year</t>
  </si>
  <si>
    <t xml:space="preserve">Total Estimated Annualized Savings</t>
  </si>
  <si>
    <t xml:space="preserve">Downtime cost avoidance + reject/waste cost avoidance</t>
  </si>
  <si>
    <t xml:space="preserve">Interview Talking Points (STAR Format)</t>
  </si>
  <si>
    <t xml:space="preserve">Situation</t>
  </si>
  <si>
    <t xml:space="preserve">A high-speed packaging line was running below industry benchmark OEE (~68%), driven by frequent breakdowns, long changeovers, and inconsistent quality — constraining throughput and putting service levels and case-fill rate at risk.</t>
  </si>
  <si>
    <t xml:space="preserve">Task</t>
  </si>
  <si>
    <t xml:space="preserve">Lead a structured OEE improvement initiative using the TPM framework to identify the vital-few losses, deploy root-cause countermeasures, and lift OEE toward the 85% world-class benchmark without capital investment in new equipment.</t>
  </si>
  <si>
    <t xml:space="preserve">Action</t>
  </si>
  <si>
    <t xml:space="preserve">Built a daily OEE tracking model (Availability/Performance/Quality); ran a Pareto on the Six Big Losses to prioritize breakdowns, changeovers, and minor stops; deployed Autonomous Maintenance (CIL) and Planned/Predictive Maintenance to cut unplanned downtime; ran a SMED kaizen to cut changeover time; added inline quality sensing to reduce rework; and stood up a visual, real-time OEE dashboard to sustain the gains.</t>
  </si>
  <si>
    <t xml:space="preserve">Result</t>
  </si>
  <si>
    <t xml:space="preserve">OEE improved from ~68% (Baseline) to ~82% (Improved) over 12 weeks — a +14 percentage-point gain — reducing changeovers by ~40 minutes each, cutting reject rate by more than half, and unlocking an estimated six-figure annualized cost avoidance in downtime and waste, directly improving line capacity available to the supply chain plan.</t>
  </si>
  <si>
    <t xml:space="preserve">Likely Interview Questions to Prepare</t>
  </si>
  <si>
    <t xml:space="preserve">• Walk me through how you calculated OEE and why Availability x Performance x Quality, not a simple average.</t>
  </si>
  <si>
    <t xml:space="preserve">• How did you decide which losses to attack first? (Pareto principle — vital few vs. trivial many)</t>
  </si>
  <si>
    <t xml:space="preserve">• What would you do differently if the top loss had been Quality instead of Availability?</t>
  </si>
  <si>
    <t xml:space="preserve">• How do you sustain the gains after the project team moves on? (visual management, OPLs, layered audits)</t>
  </si>
  <si>
    <t xml:space="preserve">• How does line-level OEE improvement translate into supply chain KPIs (case fill rate, OTIF, inventory buffers)?</t>
  </si>
  <si>
    <t xml:space="preserve">• If Finance challenged your cost-avoidance number, how would you defend the $/minute downtime assumption?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</si>
</sst>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\$#,##0"/>
    <numFmt numFmtId="167" formatCode="#,##0.0&quot; min&quot;"/>
    <numFmt numFmtId="168" formatCode="0%"/>
    <numFmt numFmtId="169" formatCode="#,##0"/>
    <numFmt numFmtId="170" formatCode="\$#,##0.00"/>
    <numFmt numFmtId="171" formatCode="yyyy\-mm\-dd"/>
    <numFmt numFmtId="172" formatCode="#,##0.0"/>
    <numFmt numFmtId="173" formatCode="\+0.0%;\-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D9E2F3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4"/>
      <color rgb="FF1F4E78"/>
      <name val="Arial"/>
      <family val="0"/>
      <charset val="1"/>
    </font>
    <font>
      <b val="true"/>
      <sz val="11"/>
      <color rgb="FF1E7B3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C"/>
        <bgColor rgb="FFFFFFFF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6FC"/>
      </patternFill>
    </fill>
    <fill>
      <patternFill patternType="solid">
        <fgColor rgb="FFC6E0B4"/>
        <bgColor rgb="FFD9D9D9"/>
      </patternFill>
    </fill>
    <fill>
      <patternFill patternType="solid">
        <fgColor rgb="FFD9E2F3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BFBFBF"/>
      <rgbColor rgb="FF808080"/>
      <rgbColor rgb="FFA6A6A6"/>
      <rgbColor rgb="FF993366"/>
      <rgbColor rgb="FFFFF2CC"/>
      <rgbColor rgb="FFF2F6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0B4"/>
      <rgbColor rgb="FFFFFF99"/>
      <rgbColor rgb="FF99CCFF"/>
      <rgbColor rgb="FFFF99CC"/>
      <rgbColor rgb="FFCC99FF"/>
      <rgbColor rgb="FFFFCC99"/>
      <rgbColor rgb="FF2E75B6"/>
      <rgbColor rgb="FF33CCCC"/>
      <rgbColor rgb="FF70AD47"/>
      <rgbColor rgb="FFFFC000"/>
      <rgbColor rgb="FFFF9900"/>
      <rgbColor rgb="FFED7D31"/>
      <rgbColor rgb="FF595959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OEE Trend vs. World-Class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OEE_Calc!F92</c:f>
              <c:strCache>
                <c:ptCount val="1"/>
                <c:pt idx="0">
                  <c:v>Avg OEE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OEE_Calc!$A$93:$A$104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OEE_Calc!$F$93:$F$104</c:f>
              <c:numCache>
                <c:formatCode>0.0%</c:formatCode>
                <c:ptCount val="12"/>
                <c:pt idx="0">
                  <c:v>0.660584886128364</c:v>
                </c:pt>
                <c:pt idx="1">
                  <c:v>0.686242236024845</c:v>
                </c:pt>
                <c:pt idx="2">
                  <c:v>0.703805383022774</c:v>
                </c:pt>
                <c:pt idx="3">
                  <c:v>0.727898550724638</c:v>
                </c:pt>
                <c:pt idx="4">
                  <c:v>0.729730848861284</c:v>
                </c:pt>
                <c:pt idx="5">
                  <c:v>0.744736024844721</c:v>
                </c:pt>
                <c:pt idx="6">
                  <c:v>0.756849896480331</c:v>
                </c:pt>
                <c:pt idx="7">
                  <c:v>0.791805383022774</c:v>
                </c:pt>
                <c:pt idx="8">
                  <c:v>0.804568322981366</c:v>
                </c:pt>
                <c:pt idx="9">
                  <c:v>0.824587991718427</c:v>
                </c:pt>
                <c:pt idx="10">
                  <c:v>0.841788819875776</c:v>
                </c:pt>
                <c:pt idx="11">
                  <c:v>0.867297101449275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OEE_Calc!G92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OEE_Calc!$A$93:$A$104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OEE_Calc!$G$93:$G$104</c:f>
              <c:numCache>
                <c:formatCode>0.0%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039765"/>
        <c:axId val="54155518"/>
      </c:lineChart>
      <c:catAx>
        <c:axId val="440397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55518"/>
        <c:crosses val="autoZero"/>
        <c:auto val="1"/>
        <c:lblAlgn val="ctr"/>
        <c:lblOffset val="100"/>
        <c:noMultiLvlLbl val="0"/>
      </c:catAx>
      <c:valAx>
        <c:axId val="541555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OEE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397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Availability / Performance / Quality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OEE_Calc!C92</c:f>
              <c:strCache>
                <c:ptCount val="1"/>
                <c:pt idx="0">
                  <c:v>Avg Availability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OEE_Calc!$A$93:$A$104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OEE_Calc!$C$93:$C$104</c:f>
              <c:numCache>
                <c:formatCode>0.0%</c:formatCode>
                <c:ptCount val="12"/>
                <c:pt idx="0">
                  <c:v>0.820093167701863</c:v>
                </c:pt>
                <c:pt idx="1">
                  <c:v>0.833354037267081</c:v>
                </c:pt>
                <c:pt idx="2">
                  <c:v>0.8401966873706</c:v>
                </c:pt>
                <c:pt idx="3">
                  <c:v>0.849668737060041</c:v>
                </c:pt>
                <c:pt idx="4">
                  <c:v>0.85804347826087</c:v>
                </c:pt>
                <c:pt idx="5">
                  <c:v>0.864482401656315</c:v>
                </c:pt>
                <c:pt idx="6">
                  <c:v>0.875031055900621</c:v>
                </c:pt>
                <c:pt idx="7">
                  <c:v>0.890683229813665</c:v>
                </c:pt>
                <c:pt idx="8">
                  <c:v>0.896449275362319</c:v>
                </c:pt>
                <c:pt idx="9">
                  <c:v>0.909420289855073</c:v>
                </c:pt>
                <c:pt idx="10">
                  <c:v>0.914089026915114</c:v>
                </c:pt>
                <c:pt idx="11">
                  <c:v>0.928178053830228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OEE_Calc!D92</c:f>
              <c:strCache>
                <c:ptCount val="1"/>
                <c:pt idx="0">
                  <c:v>Avg Performance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OEE_Calc!$A$93:$A$104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OEE_Calc!$D$93:$D$104</c:f>
              <c:numCache>
                <c:formatCode>0.0%</c:formatCode>
                <c:ptCount val="12"/>
                <c:pt idx="0">
                  <c:v>0.846145780849685</c:v>
                </c:pt>
                <c:pt idx="1">
                  <c:v>0.863906751823337</c:v>
                </c:pt>
                <c:pt idx="2">
                  <c:v>0.873066071978902</c:v>
                </c:pt>
                <c:pt idx="3">
                  <c:v>0.892809318904654</c:v>
                </c:pt>
                <c:pt idx="4">
                  <c:v>0.886301406316101</c:v>
                </c:pt>
                <c:pt idx="5">
                  <c:v>0.895646562066751</c:v>
                </c:pt>
                <c:pt idx="6">
                  <c:v>0.896189849357308</c:v>
                </c:pt>
                <c:pt idx="7">
                  <c:v>0.916207962896908</c:v>
                </c:pt>
                <c:pt idx="8">
                  <c:v>0.92583704045556</c:v>
                </c:pt>
                <c:pt idx="9">
                  <c:v>0.929898194717397</c:v>
                </c:pt>
                <c:pt idx="10">
                  <c:v>0.942106171669077</c:v>
                </c:pt>
                <c:pt idx="11">
                  <c:v>0.955116379235924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OEE_Calc!E92</c:f>
              <c:strCache>
                <c:ptCount val="1"/>
                <c:pt idx="0">
                  <c:v>Avg Quality</c:v>
                </c:pt>
              </c:strCache>
            </c:strRef>
          </c:tx>
          <c:spPr>
            <a:solidFill>
              <a:srgbClr val="70ad47"/>
            </a:solidFill>
            <a:ln w="20160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OEE_Calc!$A$93:$A$104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OEE_Calc!$E$93:$E$104</c:f>
              <c:numCache>
                <c:formatCode>0.0%</c:formatCode>
                <c:ptCount val="12"/>
                <c:pt idx="0">
                  <c:v>0.952030148618686</c:v>
                </c:pt>
                <c:pt idx="1">
                  <c:v>0.953349342483565</c:v>
                </c:pt>
                <c:pt idx="2">
                  <c:v>0.959517562054429</c:v>
                </c:pt>
                <c:pt idx="3">
                  <c:v>0.959310978015061</c:v>
                </c:pt>
                <c:pt idx="4">
                  <c:v>0.959485015440621</c:v>
                </c:pt>
                <c:pt idx="5">
                  <c:v>0.961858895927319</c:v>
                </c:pt>
                <c:pt idx="6">
                  <c:v>0.965098231865836</c:v>
                </c:pt>
                <c:pt idx="7">
                  <c:v>0.970397184849296</c:v>
                </c:pt>
                <c:pt idx="8">
                  <c:v>0.969260812779158</c:v>
                </c:pt>
                <c:pt idx="9">
                  <c:v>0.975103783372467</c:v>
                </c:pt>
                <c:pt idx="10">
                  <c:v>0.977517553847219</c:v>
                </c:pt>
                <c:pt idx="11">
                  <c:v>0.978354852886987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244615"/>
        <c:axId val="8123510"/>
      </c:lineChart>
      <c:catAx>
        <c:axId val="92446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3510"/>
        <c:crosses val="autoZero"/>
        <c:auto val="1"/>
        <c:lblAlgn val="ctr"/>
        <c:lblOffset val="100"/>
        <c:noMultiLvlLbl val="0"/>
      </c:catAx>
      <c:valAx>
        <c:axId val="81235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46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Six Big Losses — Pareto (Equivalent Minutes)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Six_Big_Losses!C4</c:f>
              <c:strCache>
                <c:ptCount val="1"/>
                <c:pt idx="0">
                  <c:v>Total Loss (min)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Six_Big_Losses!$A$5:$A$9</c:f>
              <c:strCache>
                <c:ptCount val="5"/>
                <c:pt idx="0">
                  <c:v>Reduced Speed (Speed Loss)</c:v>
                </c:pt>
                <c:pt idx="1">
                  <c:v>Equipment Breakdowns</c:v>
                </c:pt>
                <c:pt idx="2">
                  <c:v>Changeover / Setup</c:v>
                </c:pt>
                <c:pt idx="3">
                  <c:v>Minor Stops / Idling</c:v>
                </c:pt>
                <c:pt idx="4">
                  <c:v>Quality Defects / Rework</c:v>
                </c:pt>
              </c:strCache>
            </c:strRef>
          </c:cat>
          <c:val>
            <c:numRef>
              <c:f>Six_Big_Losses!$C$5:$C$9</c:f>
              <c:numCache>
                <c:formatCode>#,##0</c:formatCode>
                <c:ptCount val="5"/>
                <c:pt idx="0">
                  <c:v>9809.66</c:v>
                </c:pt>
                <c:pt idx="1">
                  <c:v>6633.8</c:v>
                </c:pt>
                <c:pt idx="2">
                  <c:v>4686.7</c:v>
                </c:pt>
                <c:pt idx="3">
                  <c:v>3365.7</c:v>
                </c:pt>
                <c:pt idx="4">
                  <c:v>3132.75</c:v>
                </c:pt>
              </c:numCache>
            </c:numRef>
          </c:val>
        </c:ser>
        <c:gapWidth val="150"/>
        <c:overlap val="0"/>
        <c:axId val="67996366"/>
        <c:axId val="99331758"/>
      </c:barChart>
      <c:lineChart>
        <c:grouping val="standard"/>
        <c:varyColors val="0"/>
        <c:ser>
          <c:idx val="1"/>
          <c:order val="1"/>
          <c:tx>
            <c:strRef>
              <c:f>Six_Big_Losses!E4</c:f>
              <c:strCache>
                <c:ptCount val="1"/>
                <c:pt idx="0">
                  <c:v>Cumulative %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diamond"/>
            <c:size val="6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Six_Big_Losses!$A$5:$A$9</c:f>
              <c:strCache>
                <c:ptCount val="5"/>
                <c:pt idx="0">
                  <c:v>Reduced Speed (Speed Loss)</c:v>
                </c:pt>
                <c:pt idx="1">
                  <c:v>Equipment Breakdowns</c:v>
                </c:pt>
                <c:pt idx="2">
                  <c:v>Changeover / Setup</c:v>
                </c:pt>
                <c:pt idx="3">
                  <c:v>Minor Stops / Idling</c:v>
                </c:pt>
                <c:pt idx="4">
                  <c:v>Quality Defects / Rework</c:v>
                </c:pt>
              </c:strCache>
            </c:strRef>
          </c:cat>
          <c:val>
            <c:numRef>
              <c:f>Six_Big_Losses!$E$5:$E$9</c:f>
              <c:numCache>
                <c:formatCode>0.0%</c:formatCode>
                <c:ptCount val="5"/>
                <c:pt idx="0">
                  <c:v>0.355054416418343</c:v>
                </c:pt>
                <c:pt idx="1">
                  <c:v>0.595160596208061</c:v>
                </c:pt>
                <c:pt idx="2">
                  <c:v>0.764792727538591</c:v>
                </c:pt>
                <c:pt idx="3">
                  <c:v>0.886612102454666</c:v>
                </c:pt>
                <c:pt idx="4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98597"/>
        <c:axId val="91921880"/>
      </c:lineChart>
      <c:catAx>
        <c:axId val="679963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Loss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31758"/>
        <c:crosses val="autoZero"/>
        <c:auto val="1"/>
        <c:lblAlgn val="ctr"/>
        <c:lblOffset val="100"/>
        <c:noMultiLvlLbl val="0"/>
      </c:catAx>
      <c:valAx>
        <c:axId val="993317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 Lost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96366"/>
        <c:crosses val="autoZero"/>
        <c:crossBetween val="between"/>
      </c:valAx>
      <c:catAx>
        <c:axId val="5698597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Loss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21880"/>
        <c:crosses val="autoZero"/>
        <c:auto val="1"/>
        <c:lblAlgn val="ctr"/>
        <c:lblOffset val="100"/>
        <c:noMultiLvlLbl val="0"/>
      </c:catAx>
      <c:valAx>
        <c:axId val="9192188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8597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Before vs. After — Availability, Performance, Quality, OEE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Results_Summary!B5</c:f>
              <c:strCache>
                <c:ptCount val="1"/>
                <c:pt idx="0">
                  <c:v>Baseline (Wks 1-4)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Results_Summary!$A$6:$A$9</c:f>
              <c:strCache>
                <c:ptCount val="4"/>
                <c:pt idx="0">
                  <c:v>Availability</c:v>
                </c:pt>
                <c:pt idx="1">
                  <c:v>Performance</c:v>
                </c:pt>
                <c:pt idx="2">
                  <c:v>Quality</c:v>
                </c:pt>
                <c:pt idx="3">
                  <c:v>OEE</c:v>
                </c:pt>
              </c:strCache>
            </c:strRef>
          </c:cat>
          <c:val>
            <c:numRef>
              <c:f>Results_Summary!$B$6:$B$9</c:f>
              <c:numCache>
                <c:formatCode>0.0%</c:formatCode>
                <c:ptCount val="4"/>
                <c:pt idx="0">
                  <c:v>0.835828157349897</c:v>
                </c:pt>
                <c:pt idx="1">
                  <c:v>0.868981980889145</c:v>
                </c:pt>
                <c:pt idx="2">
                  <c:v>0.956052007792935</c:v>
                </c:pt>
                <c:pt idx="3">
                  <c:v>0.694632763975155</c:v>
                </c:pt>
              </c:numCache>
            </c:numRef>
          </c:val>
        </c:ser>
        <c:ser>
          <c:idx val="1"/>
          <c:order val="1"/>
          <c:tx>
            <c:strRef>
              <c:f>Results_Summary!C5</c:f>
              <c:strCache>
                <c:ptCount val="1"/>
                <c:pt idx="0">
                  <c:v>Improved (Wks 9-12)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Results_Summary!$A$6:$A$9</c:f>
              <c:strCache>
                <c:ptCount val="4"/>
                <c:pt idx="0">
                  <c:v>Availability</c:v>
                </c:pt>
                <c:pt idx="1">
                  <c:v>Performance</c:v>
                </c:pt>
                <c:pt idx="2">
                  <c:v>Quality</c:v>
                </c:pt>
                <c:pt idx="3">
                  <c:v>OEE</c:v>
                </c:pt>
              </c:strCache>
            </c:strRef>
          </c:cat>
          <c:val>
            <c:numRef>
              <c:f>Results_Summary!$C$6:$C$9</c:f>
              <c:numCache>
                <c:formatCode>0.0%</c:formatCode>
                <c:ptCount val="4"/>
                <c:pt idx="0">
                  <c:v>0.912034161490683</c:v>
                </c:pt>
                <c:pt idx="1">
                  <c:v>0.93823944651949</c:v>
                </c:pt>
                <c:pt idx="2">
                  <c:v>0.975059250721458</c:v>
                </c:pt>
                <c:pt idx="3">
                  <c:v>0.834560559006211</c:v>
                </c:pt>
              </c:numCache>
            </c:numRef>
          </c:val>
        </c:ser>
        <c:gapWidth val="150"/>
        <c:overlap val="0"/>
        <c:axId val="71896758"/>
        <c:axId val="88752807"/>
      </c:barChart>
      <c:catAx>
        <c:axId val="718967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52807"/>
        <c:crosses val="autoZero"/>
        <c:auto val="1"/>
        <c:lblAlgn val="ctr"/>
        <c:lblOffset val="100"/>
        <c:noMultiLvlLbl val="0"/>
      </c:catAx>
      <c:valAx>
        <c:axId val="887528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967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Downtime &amp; Loss Distribution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Six_Big_Losses!C4</c:f>
              <c:strCache>
                <c:ptCount val="1"/>
                <c:pt idx="0">
                  <c:v>Total Loss (min)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c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0ad4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Six_Big_Losses!$A$5:$A$9</c:f>
              <c:strCache>
                <c:ptCount val="5"/>
                <c:pt idx="0">
                  <c:v>Reduced Speed (Speed Loss)</c:v>
                </c:pt>
                <c:pt idx="1">
                  <c:v>Equipment Breakdowns</c:v>
                </c:pt>
                <c:pt idx="2">
                  <c:v>Changeover / Setup</c:v>
                </c:pt>
                <c:pt idx="3">
                  <c:v>Minor Stops / Idling</c:v>
                </c:pt>
                <c:pt idx="4">
                  <c:v>Quality Defects / Rework</c:v>
                </c:pt>
              </c:strCache>
            </c:strRef>
          </c:cat>
          <c:val>
            <c:numRef>
              <c:f>Six_Big_Losses!$C$5:$C$9</c:f>
              <c:numCache>
                <c:formatCode>#,##0</c:formatCode>
                <c:ptCount val="5"/>
                <c:pt idx="0">
                  <c:v>9809.66</c:v>
                </c:pt>
                <c:pt idx="1">
                  <c:v>6633.8</c:v>
                </c:pt>
                <c:pt idx="2">
                  <c:v>4686.7</c:v>
                </c:pt>
                <c:pt idx="3">
                  <c:v>3365.7</c:v>
                </c:pt>
                <c:pt idx="4">
                  <c:v>3132.75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7</xdr:col>
      <xdr:colOff>691920</xdr:colOff>
      <xdr:row>24</xdr:row>
      <xdr:rowOff>11520</xdr:rowOff>
    </xdr:to>
    <xdr:graphicFrame>
      <xdr:nvGraphicFramePr>
        <xdr:cNvPr id="0" name="Chart 1"/>
        <xdr:cNvGraphicFramePr/>
      </xdr:nvGraphicFramePr>
      <xdr:xfrm>
        <a:off x="0" y="1905120"/>
        <a:ext cx="611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17</xdr:col>
      <xdr:colOff>80280</xdr:colOff>
      <xdr:row>24</xdr:row>
      <xdr:rowOff>11520</xdr:rowOff>
    </xdr:to>
    <xdr:graphicFrame>
      <xdr:nvGraphicFramePr>
        <xdr:cNvPr id="1" name="Chart 2"/>
        <xdr:cNvGraphicFramePr/>
      </xdr:nvGraphicFramePr>
      <xdr:xfrm>
        <a:off x="6977880" y="1905120"/>
        <a:ext cx="611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691920</xdr:colOff>
      <xdr:row>45</xdr:row>
      <xdr:rowOff>720</xdr:rowOff>
    </xdr:to>
    <xdr:graphicFrame>
      <xdr:nvGraphicFramePr>
        <xdr:cNvPr id="2" name="Chart 3"/>
        <xdr:cNvGraphicFramePr/>
      </xdr:nvGraphicFramePr>
      <xdr:xfrm>
        <a:off x="0" y="5715000"/>
        <a:ext cx="61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28</xdr:row>
      <xdr:rowOff>0</xdr:rowOff>
    </xdr:from>
    <xdr:to>
      <xdr:col>17</xdr:col>
      <xdr:colOff>80280</xdr:colOff>
      <xdr:row>45</xdr:row>
      <xdr:rowOff>720</xdr:rowOff>
    </xdr:to>
    <xdr:graphicFrame>
      <xdr:nvGraphicFramePr>
        <xdr:cNvPr id="3" name="Chart 4"/>
        <xdr:cNvGraphicFramePr/>
      </xdr:nvGraphicFramePr>
      <xdr:xfrm>
        <a:off x="6977880" y="5715000"/>
        <a:ext cx="61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48</xdr:row>
      <xdr:rowOff>0</xdr:rowOff>
    </xdr:from>
    <xdr:to>
      <xdr:col>7</xdr:col>
      <xdr:colOff>691920</xdr:colOff>
      <xdr:row>65</xdr:row>
      <xdr:rowOff>720</xdr:rowOff>
    </xdr:to>
    <xdr:graphicFrame>
      <xdr:nvGraphicFramePr>
        <xdr:cNvPr id="4" name="Chart 5"/>
        <xdr:cNvGraphicFramePr/>
      </xdr:nvGraphicFramePr>
      <xdr:xfrm>
        <a:off x="0" y="9524880"/>
        <a:ext cx="61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1" width="11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18" hidden="false" customHeight="true" outlineLevel="0" collapsed="false">
      <c r="A4" s="4" t="s">
        <v>2</v>
      </c>
      <c r="B4" s="4"/>
      <c r="C4" s="4"/>
      <c r="D4" s="4" t="s">
        <v>3</v>
      </c>
      <c r="E4" s="4"/>
      <c r="F4" s="4"/>
      <c r="G4" s="4" t="s">
        <v>4</v>
      </c>
      <c r="H4" s="4"/>
      <c r="I4" s="4"/>
      <c r="J4" s="4" t="s">
        <v>5</v>
      </c>
      <c r="K4" s="4"/>
      <c r="L4" s="4"/>
      <c r="M4" s="4" t="s">
        <v>6</v>
      </c>
      <c r="N4" s="4"/>
      <c r="O4" s="4"/>
    </row>
    <row r="5" customFormat="false" ht="18" hidden="false" customHeight="true" outlineLevel="0" collapsed="false">
      <c r="A5" s="5" t="n">
        <f aca="false">OEE_Calc!E109</f>
        <v>0.694632763975155</v>
      </c>
      <c r="B5" s="5"/>
      <c r="C5" s="5"/>
      <c r="D5" s="5" t="n">
        <f aca="false">OEE_Calc!E111</f>
        <v>0.834560559006211</v>
      </c>
      <c r="E5" s="5"/>
      <c r="F5" s="5"/>
      <c r="G5" s="5" t="n">
        <f aca="false">Assumptions!$B$7</f>
        <v>0.85</v>
      </c>
      <c r="H5" s="5"/>
      <c r="I5" s="5"/>
      <c r="J5" s="6" t="n">
        <f aca="false">Results_Summary!B18</f>
        <v>1917150.625</v>
      </c>
      <c r="K5" s="6"/>
      <c r="L5" s="6"/>
      <c r="M5" s="7" t="n">
        <f aca="false">AVERAGEIF(Raw_Data!C5:C88,"Baseline",Raw_Data!F5:F88)-AVERAGEIF(Raw_Data!C5:C88,"Improved",Raw_Data!F5:F88)</f>
        <v>28.45</v>
      </c>
      <c r="N5" s="7"/>
      <c r="O5" s="7"/>
    </row>
    <row r="6" customFormat="false" ht="18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6"/>
      <c r="K6" s="6"/>
      <c r="L6" s="6"/>
      <c r="M6" s="7"/>
      <c r="N6" s="7"/>
      <c r="O6" s="7"/>
    </row>
    <row r="7" customFormat="false" ht="18" hidden="false" customHeight="true" outlineLevel="0" collapsed="false">
      <c r="A7" s="8"/>
      <c r="B7" s="8"/>
      <c r="C7" s="8"/>
      <c r="D7" s="9" t="str">
        <f aca="false">"+"&amp;TEXT(OEE_Calc!E111-OEE_Calc!E109,"0.0%")&amp;" pts"</f>
        <v>+14.0% pts</v>
      </c>
      <c r="E7" s="9"/>
      <c r="F7" s="9"/>
      <c r="G7" s="8"/>
      <c r="H7" s="8"/>
      <c r="I7" s="8"/>
      <c r="J7" s="8"/>
      <c r="K7" s="8"/>
      <c r="L7" s="8"/>
      <c r="M7" s="8"/>
      <c r="N7" s="8"/>
      <c r="O7" s="8"/>
    </row>
  </sheetData>
  <mergeCells count="17">
    <mergeCell ref="A1:P1"/>
    <mergeCell ref="A2:P2"/>
    <mergeCell ref="A4:C4"/>
    <mergeCell ref="D4:F4"/>
    <mergeCell ref="G4:I4"/>
    <mergeCell ref="J4:L4"/>
    <mergeCell ref="M4:O4"/>
    <mergeCell ref="A5:C6"/>
    <mergeCell ref="D5:F6"/>
    <mergeCell ref="G5:I6"/>
    <mergeCell ref="J5:L6"/>
    <mergeCell ref="M5:O6"/>
    <mergeCell ref="A7:C7"/>
    <mergeCell ref="D7:F7"/>
    <mergeCell ref="G7:I7"/>
    <mergeCell ref="J7:L7"/>
    <mergeCell ref="M7:O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30" hidden="false" customHeight="true" outlineLevel="0" collapsed="false">
      <c r="A1" s="2" t="s">
        <v>7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8</v>
      </c>
      <c r="B2" s="3"/>
      <c r="C2" s="3"/>
      <c r="D2" s="3"/>
      <c r="E2" s="3"/>
      <c r="F2" s="3"/>
      <c r="G2" s="3"/>
      <c r="H2" s="3"/>
    </row>
    <row r="4" customFormat="false" ht="13.5" hidden="false" customHeight="true" outlineLevel="0" collapsed="false">
      <c r="A4" s="10" t="s">
        <v>9</v>
      </c>
    </row>
    <row r="5" customFormat="false" ht="13.5" hidden="false" customHeight="true" outlineLevel="0" collapsed="false">
      <c r="A5" s="11" t="s">
        <v>10</v>
      </c>
    </row>
    <row r="6" customFormat="false" ht="13.5" hidden="false" customHeight="true" outlineLevel="0" collapsed="false">
      <c r="A6" s="11" t="s">
        <v>11</v>
      </c>
    </row>
    <row r="7" customFormat="false" ht="13.5" hidden="false" customHeight="true" outlineLevel="0" collapsed="false">
      <c r="A7" s="11" t="s">
        <v>12</v>
      </c>
    </row>
    <row r="8" customFormat="false" ht="13.5" hidden="false" customHeight="true" outlineLevel="0" collapsed="false">
      <c r="A8" s="11" t="s">
        <v>13</v>
      </c>
    </row>
    <row r="9" customFormat="false" ht="13.5" hidden="false" customHeight="true" outlineLevel="0" collapsed="false"/>
    <row r="10" customFormat="false" ht="13.5" hidden="false" customHeight="true" outlineLevel="0" collapsed="false">
      <c r="A10" s="10" t="s">
        <v>14</v>
      </c>
    </row>
    <row r="11" customFormat="false" ht="13.5" hidden="false" customHeight="true" outlineLevel="0" collapsed="false">
      <c r="A11" s="11" t="s">
        <v>15</v>
      </c>
    </row>
    <row r="12" customFormat="false" ht="13.5" hidden="false" customHeight="true" outlineLevel="0" collapsed="false">
      <c r="A12" s="11" t="s">
        <v>16</v>
      </c>
    </row>
    <row r="13" customFormat="false" ht="13.5" hidden="false" customHeight="true" outlineLevel="0" collapsed="false"/>
    <row r="14" customFormat="false" ht="13.5" hidden="false" customHeight="true" outlineLevel="0" collapsed="false">
      <c r="A14" s="10" t="s">
        <v>17</v>
      </c>
    </row>
    <row r="15" customFormat="false" ht="13.5" hidden="false" customHeight="true" outlineLevel="0" collapsed="false">
      <c r="A15" s="11" t="s">
        <v>18</v>
      </c>
    </row>
    <row r="16" customFormat="false" ht="13.5" hidden="false" customHeight="true" outlineLevel="0" collapsed="false">
      <c r="A16" s="11" t="s">
        <v>19</v>
      </c>
    </row>
    <row r="17" customFormat="false" ht="13.5" hidden="false" customHeight="true" outlineLevel="0" collapsed="false">
      <c r="A17" s="11" t="s">
        <v>20</v>
      </c>
    </row>
    <row r="18" customFormat="false" ht="13.5" hidden="false" customHeight="true" outlineLevel="0" collapsed="false">
      <c r="A18" s="11" t="s">
        <v>21</v>
      </c>
    </row>
    <row r="19" customFormat="false" ht="13.5" hidden="false" customHeight="true" outlineLevel="0" collapsed="false">
      <c r="A19" s="11" t="s">
        <v>22</v>
      </c>
    </row>
    <row r="20" customFormat="false" ht="13.5" hidden="false" customHeight="true" outlineLevel="0" collapsed="false"/>
    <row r="21" customFormat="false" ht="13.5" hidden="false" customHeight="true" outlineLevel="0" collapsed="false">
      <c r="A21" s="10" t="s">
        <v>23</v>
      </c>
    </row>
    <row r="22" customFormat="false" ht="13.5" hidden="false" customHeight="true" outlineLevel="0" collapsed="false">
      <c r="A22" s="11" t="s">
        <v>24</v>
      </c>
    </row>
    <row r="23" customFormat="false" ht="13.5" hidden="false" customHeight="true" outlineLevel="0" collapsed="false">
      <c r="A23" s="11" t="s">
        <v>25</v>
      </c>
    </row>
    <row r="24" customFormat="false" ht="13.5" hidden="false" customHeight="true" outlineLevel="0" collapsed="false">
      <c r="A24" s="11" t="s">
        <v>26</v>
      </c>
    </row>
    <row r="25" customFormat="false" ht="13.5" hidden="false" customHeight="true" outlineLevel="0" collapsed="false">
      <c r="A25" s="11" t="s">
        <v>27</v>
      </c>
    </row>
    <row r="26" customFormat="false" ht="13.5" hidden="false" customHeight="true" outlineLevel="0" collapsed="false">
      <c r="A26" s="11" t="s">
        <v>28</v>
      </c>
    </row>
    <row r="27" customFormat="false" ht="13.5" hidden="false" customHeight="true" outlineLevel="0" collapsed="false">
      <c r="A27" s="11" t="s">
        <v>29</v>
      </c>
    </row>
    <row r="28" customFormat="false" ht="13.5" hidden="false" customHeight="true" outlineLevel="0" collapsed="false">
      <c r="A28" s="11" t="s">
        <v>30</v>
      </c>
    </row>
    <row r="29" customFormat="false" ht="13.5" hidden="false" customHeight="true" outlineLevel="0" collapsed="false"/>
    <row r="30" customFormat="false" ht="13.5" hidden="false" customHeight="true" outlineLevel="0" collapsed="false">
      <c r="A30" s="12" t="s">
        <v>31</v>
      </c>
    </row>
    <row r="31" customFormat="false" ht="13.5" hidden="false" customHeight="true" outlineLevel="0" collapsed="false"/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62"/>
  </cols>
  <sheetData>
    <row r="1" customFormat="false" ht="30" hidden="false" customHeight="true" outlineLevel="0" collapsed="false">
      <c r="A1" s="2" t="s">
        <v>32</v>
      </c>
      <c r="B1" s="2"/>
      <c r="C1" s="2"/>
      <c r="D1" s="2"/>
    </row>
    <row r="2" customFormat="false" ht="18" hidden="false" customHeight="true" outlineLevel="0" collapsed="false">
      <c r="A2" s="3" t="s">
        <v>33</v>
      </c>
      <c r="B2" s="3"/>
      <c r="C2" s="3"/>
      <c r="D2" s="3"/>
    </row>
    <row r="4" customFormat="false" ht="15" hidden="false" customHeight="true" outlineLevel="0" collapsed="false">
      <c r="A4" s="13" t="s">
        <v>34</v>
      </c>
      <c r="B4" s="13" t="s">
        <v>35</v>
      </c>
      <c r="C4" s="13" t="s">
        <v>36</v>
      </c>
      <c r="D4" s="13" t="s">
        <v>37</v>
      </c>
    </row>
    <row r="5" customFormat="false" ht="15" hidden="false" customHeight="true" outlineLevel="0" collapsed="false">
      <c r="A5" s="14" t="s">
        <v>38</v>
      </c>
      <c r="B5" s="15" t="n">
        <v>100</v>
      </c>
      <c r="C5" s="14" t="s">
        <v>39</v>
      </c>
      <c r="D5" s="16" t="s">
        <v>40</v>
      </c>
    </row>
    <row r="6" customFormat="false" ht="15" hidden="false" customHeight="true" outlineLevel="0" collapsed="false">
      <c r="A6" s="14" t="s">
        <v>41</v>
      </c>
      <c r="B6" s="15" t="n">
        <v>1380</v>
      </c>
      <c r="C6" s="14" t="s">
        <v>42</v>
      </c>
      <c r="D6" s="16" t="s">
        <v>43</v>
      </c>
    </row>
    <row r="7" customFormat="false" ht="15" hidden="false" customHeight="true" outlineLevel="0" collapsed="false">
      <c r="A7" s="14" t="s">
        <v>44</v>
      </c>
      <c r="B7" s="17" t="n">
        <v>0.85</v>
      </c>
      <c r="C7" s="14" t="s">
        <v>45</v>
      </c>
      <c r="D7" s="16" t="s">
        <v>46</v>
      </c>
    </row>
    <row r="8" customFormat="false" ht="15" hidden="false" customHeight="true" outlineLevel="0" collapsed="false">
      <c r="A8" s="14" t="s">
        <v>47</v>
      </c>
      <c r="B8" s="15" t="n">
        <v>50</v>
      </c>
      <c r="C8" s="14" t="s">
        <v>48</v>
      </c>
      <c r="D8" s="16" t="s">
        <v>49</v>
      </c>
    </row>
    <row r="9" customFormat="false" ht="15" hidden="false" customHeight="true" outlineLevel="0" collapsed="false">
      <c r="A9" s="14" t="s">
        <v>50</v>
      </c>
      <c r="B9" s="18" t="n">
        <v>0.15</v>
      </c>
      <c r="C9" s="14" t="s">
        <v>51</v>
      </c>
      <c r="D9" s="16" t="s">
        <v>52</v>
      </c>
    </row>
    <row r="10" customFormat="false" ht="15" hidden="false" customHeight="true" outlineLevel="0" collapsed="false">
      <c r="A10" s="14" t="s">
        <v>53</v>
      </c>
      <c r="B10" s="15" t="n">
        <v>350</v>
      </c>
      <c r="C10" s="14" t="s">
        <v>54</v>
      </c>
      <c r="D10" s="16" t="s">
        <v>55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20"/>
    <col collapsed="false" customWidth="true" hidden="false" outlineLevel="0" max="7" min="7" style="1" width="15"/>
    <col collapsed="false" customWidth="true" hidden="false" outlineLevel="0" max="8" min="8" style="1" width="18"/>
    <col collapsed="false" customWidth="true" hidden="false" outlineLevel="0" max="9" min="9" style="1" width="17"/>
    <col collapsed="false" customWidth="true" hidden="false" outlineLevel="0" max="12" min="10" style="1" width="13"/>
  </cols>
  <sheetData>
    <row r="1" customFormat="false" ht="30" hidden="false" customHeight="true" outlineLevel="0" collapsed="false">
      <c r="A1" s="2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57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6.25" hidden="false" customHeight="true" outlineLevel="0" collapsed="false">
      <c r="A4" s="13" t="s">
        <v>58</v>
      </c>
      <c r="B4" s="13" t="s">
        <v>59</v>
      </c>
      <c r="C4" s="13" t="s">
        <v>60</v>
      </c>
      <c r="D4" s="13" t="s">
        <v>61</v>
      </c>
      <c r="E4" s="13" t="s">
        <v>62</v>
      </c>
      <c r="F4" s="13" t="s">
        <v>63</v>
      </c>
      <c r="G4" s="13" t="s">
        <v>64</v>
      </c>
      <c r="H4" s="13" t="s">
        <v>65</v>
      </c>
      <c r="I4" s="13" t="s">
        <v>66</v>
      </c>
      <c r="J4" s="13" t="s">
        <v>67</v>
      </c>
      <c r="K4" s="13" t="s">
        <v>68</v>
      </c>
      <c r="L4" s="13" t="s">
        <v>69</v>
      </c>
    </row>
    <row r="5" customFormat="false" ht="15" hidden="false" customHeight="true" outlineLevel="0" collapsed="false">
      <c r="A5" s="19" t="s">
        <v>70</v>
      </c>
      <c r="B5" s="14" t="n">
        <v>1</v>
      </c>
      <c r="C5" s="14" t="s">
        <v>71</v>
      </c>
      <c r="D5" s="20" t="n">
        <f aca="false">Assumptions!$B$6</f>
        <v>1380</v>
      </c>
      <c r="E5" s="21" t="n">
        <v>121</v>
      </c>
      <c r="F5" s="21" t="n">
        <v>73.9</v>
      </c>
      <c r="G5" s="21" t="n">
        <v>59.5</v>
      </c>
      <c r="H5" s="20" t="n">
        <f aca="false">SUM(E5:G5)</f>
        <v>254.4</v>
      </c>
      <c r="I5" s="20" t="n">
        <f aca="false">D5-H5</f>
        <v>1125.6</v>
      </c>
      <c r="J5" s="15" t="n">
        <v>100231</v>
      </c>
      <c r="K5" s="15" t="n">
        <v>4894</v>
      </c>
      <c r="L5" s="20" t="n">
        <f aca="false">J5-K5</f>
        <v>95337</v>
      </c>
    </row>
    <row r="6" customFormat="false" ht="15" hidden="false" customHeight="true" outlineLevel="0" collapsed="false">
      <c r="A6" s="19" t="s">
        <v>72</v>
      </c>
      <c r="B6" s="14" t="n">
        <v>1</v>
      </c>
      <c r="C6" s="14" t="s">
        <v>71</v>
      </c>
      <c r="D6" s="20" t="n">
        <f aca="false">Assumptions!$B$6</f>
        <v>1380</v>
      </c>
      <c r="E6" s="21" t="n">
        <v>112.2</v>
      </c>
      <c r="F6" s="21" t="n">
        <v>87.6</v>
      </c>
      <c r="G6" s="21" t="n">
        <v>60.4</v>
      </c>
      <c r="H6" s="20" t="n">
        <f aca="false">SUM(E6:G6)</f>
        <v>260.2</v>
      </c>
      <c r="I6" s="20" t="n">
        <f aca="false">D6-H6</f>
        <v>1119.8</v>
      </c>
      <c r="J6" s="15" t="n">
        <v>95252</v>
      </c>
      <c r="K6" s="15" t="n">
        <v>5021</v>
      </c>
      <c r="L6" s="20" t="n">
        <f aca="false">J6-K6</f>
        <v>90231</v>
      </c>
    </row>
    <row r="7" customFormat="false" ht="15" hidden="false" customHeight="true" outlineLevel="0" collapsed="false">
      <c r="A7" s="19" t="s">
        <v>73</v>
      </c>
      <c r="B7" s="14" t="n">
        <v>1</v>
      </c>
      <c r="C7" s="14" t="s">
        <v>71</v>
      </c>
      <c r="D7" s="20" t="n">
        <f aca="false">Assumptions!$B$6</f>
        <v>1380</v>
      </c>
      <c r="E7" s="21" t="n">
        <v>109.4</v>
      </c>
      <c r="F7" s="21" t="n">
        <v>71.3</v>
      </c>
      <c r="G7" s="21" t="n">
        <v>56.7</v>
      </c>
      <c r="H7" s="20" t="n">
        <f aca="false">SUM(E7:G7)</f>
        <v>237.4</v>
      </c>
      <c r="I7" s="20" t="n">
        <f aca="false">D7-H7</f>
        <v>1142.6</v>
      </c>
      <c r="J7" s="15" t="n">
        <v>93891</v>
      </c>
      <c r="K7" s="15" t="n">
        <v>3885</v>
      </c>
      <c r="L7" s="20" t="n">
        <f aca="false">J7-K7</f>
        <v>90006</v>
      </c>
    </row>
    <row r="8" customFormat="false" ht="15" hidden="false" customHeight="true" outlineLevel="0" collapsed="false">
      <c r="A8" s="19" t="s">
        <v>74</v>
      </c>
      <c r="B8" s="14" t="n">
        <v>1</v>
      </c>
      <c r="C8" s="14" t="s">
        <v>71</v>
      </c>
      <c r="D8" s="20" t="n">
        <f aca="false">Assumptions!$B$6</f>
        <v>1380</v>
      </c>
      <c r="E8" s="21" t="n">
        <v>108.3</v>
      </c>
      <c r="F8" s="21" t="n">
        <v>66.9</v>
      </c>
      <c r="G8" s="21" t="n">
        <v>57.2</v>
      </c>
      <c r="H8" s="20" t="n">
        <f aca="false">SUM(E8:G8)</f>
        <v>232.4</v>
      </c>
      <c r="I8" s="20" t="n">
        <f aca="false">D8-H8</f>
        <v>1147.6</v>
      </c>
      <c r="J8" s="15" t="n">
        <v>96614</v>
      </c>
      <c r="K8" s="15" t="n">
        <v>4148</v>
      </c>
      <c r="L8" s="20" t="n">
        <f aca="false">J8-K8</f>
        <v>92466</v>
      </c>
    </row>
    <row r="9" customFormat="false" ht="15" hidden="false" customHeight="true" outlineLevel="0" collapsed="false">
      <c r="A9" s="19" t="s">
        <v>75</v>
      </c>
      <c r="B9" s="14" t="n">
        <v>1</v>
      </c>
      <c r="C9" s="14" t="s">
        <v>71</v>
      </c>
      <c r="D9" s="20" t="n">
        <f aca="false">Assumptions!$B$6</f>
        <v>1380</v>
      </c>
      <c r="E9" s="21" t="n">
        <v>132.6</v>
      </c>
      <c r="F9" s="21" t="n">
        <v>73.2</v>
      </c>
      <c r="G9" s="21" t="n">
        <v>55.5</v>
      </c>
      <c r="H9" s="20" t="n">
        <f aca="false">SUM(E9:G9)</f>
        <v>261.3</v>
      </c>
      <c r="I9" s="20" t="n">
        <f aca="false">D9-H9</f>
        <v>1118.7</v>
      </c>
      <c r="J9" s="15" t="n">
        <v>93024</v>
      </c>
      <c r="K9" s="15" t="n">
        <v>4398</v>
      </c>
      <c r="L9" s="20" t="n">
        <f aca="false">J9-K9</f>
        <v>88626</v>
      </c>
    </row>
    <row r="10" customFormat="false" ht="15" hidden="false" customHeight="true" outlineLevel="0" collapsed="false">
      <c r="A10" s="19" t="s">
        <v>76</v>
      </c>
      <c r="B10" s="14" t="n">
        <v>1</v>
      </c>
      <c r="C10" s="14" t="s">
        <v>71</v>
      </c>
      <c r="D10" s="20" t="n">
        <f aca="false">Assumptions!$B$6</f>
        <v>1380</v>
      </c>
      <c r="E10" s="21" t="n">
        <v>116.3</v>
      </c>
      <c r="F10" s="21" t="n">
        <v>65.8</v>
      </c>
      <c r="G10" s="21" t="n">
        <v>57.6</v>
      </c>
      <c r="H10" s="20" t="n">
        <f aca="false">SUM(E10:G10)</f>
        <v>239.7</v>
      </c>
      <c r="I10" s="20" t="n">
        <f aca="false">D10-H10</f>
        <v>1140.3</v>
      </c>
      <c r="J10" s="15" t="n">
        <v>96691</v>
      </c>
      <c r="K10" s="15" t="n">
        <v>4694</v>
      </c>
      <c r="L10" s="20" t="n">
        <f aca="false">J10-K10</f>
        <v>91997</v>
      </c>
    </row>
    <row r="11" customFormat="false" ht="15" hidden="false" customHeight="true" outlineLevel="0" collapsed="false">
      <c r="A11" s="19" t="s">
        <v>77</v>
      </c>
      <c r="B11" s="14" t="n">
        <v>1</v>
      </c>
      <c r="C11" s="14" t="s">
        <v>71</v>
      </c>
      <c r="D11" s="20" t="n">
        <f aca="false">Assumptions!$B$6</f>
        <v>1380</v>
      </c>
      <c r="E11" s="21" t="n">
        <v>107.8</v>
      </c>
      <c r="F11" s="21" t="n">
        <v>89.8</v>
      </c>
      <c r="G11" s="21" t="n">
        <v>54.9</v>
      </c>
      <c r="H11" s="20" t="n">
        <f aca="false">SUM(E11:G11)</f>
        <v>252.5</v>
      </c>
      <c r="I11" s="20" t="n">
        <f aca="false">D11-H11</f>
        <v>1127.5</v>
      </c>
      <c r="J11" s="15" t="n">
        <v>94580</v>
      </c>
      <c r="K11" s="15" t="n">
        <v>5118</v>
      </c>
      <c r="L11" s="20" t="n">
        <f aca="false">J11-K11</f>
        <v>89462</v>
      </c>
    </row>
    <row r="12" customFormat="false" ht="15" hidden="false" customHeight="true" outlineLevel="0" collapsed="false">
      <c r="A12" s="19" t="s">
        <v>78</v>
      </c>
      <c r="B12" s="14" t="n">
        <v>2</v>
      </c>
      <c r="C12" s="14" t="s">
        <v>71</v>
      </c>
      <c r="D12" s="20" t="n">
        <f aca="false">Assumptions!$B$6</f>
        <v>1380</v>
      </c>
      <c r="E12" s="21" t="n">
        <v>94</v>
      </c>
      <c r="F12" s="21" t="n">
        <v>73</v>
      </c>
      <c r="G12" s="21" t="n">
        <v>38.6</v>
      </c>
      <c r="H12" s="20" t="n">
        <f aca="false">SUM(E12:G12)</f>
        <v>205.6</v>
      </c>
      <c r="I12" s="20" t="n">
        <f aca="false">D12-H12</f>
        <v>1174.4</v>
      </c>
      <c r="J12" s="15" t="n">
        <v>98735</v>
      </c>
      <c r="K12" s="15" t="n">
        <v>4765</v>
      </c>
      <c r="L12" s="20" t="n">
        <f aca="false">J12-K12</f>
        <v>93970</v>
      </c>
    </row>
    <row r="13" customFormat="false" ht="15" hidden="false" customHeight="true" outlineLevel="0" collapsed="false">
      <c r="A13" s="19" t="s">
        <v>79</v>
      </c>
      <c r="B13" s="14" t="n">
        <v>2</v>
      </c>
      <c r="C13" s="14" t="s">
        <v>71</v>
      </c>
      <c r="D13" s="20" t="n">
        <f aca="false">Assumptions!$B$6</f>
        <v>1380</v>
      </c>
      <c r="E13" s="21" t="n">
        <v>117.5</v>
      </c>
      <c r="F13" s="21" t="n">
        <v>72.7</v>
      </c>
      <c r="G13" s="21" t="n">
        <v>51.5</v>
      </c>
      <c r="H13" s="20" t="n">
        <f aca="false">SUM(E13:G13)</f>
        <v>241.7</v>
      </c>
      <c r="I13" s="20" t="n">
        <f aca="false">D13-H13</f>
        <v>1138.3</v>
      </c>
      <c r="J13" s="15" t="n">
        <v>98037</v>
      </c>
      <c r="K13" s="15" t="n">
        <v>3910</v>
      </c>
      <c r="L13" s="20" t="n">
        <f aca="false">J13-K13</f>
        <v>94127</v>
      </c>
    </row>
    <row r="14" customFormat="false" ht="15" hidden="false" customHeight="true" outlineLevel="0" collapsed="false">
      <c r="A14" s="19" t="s">
        <v>80</v>
      </c>
      <c r="B14" s="14" t="n">
        <v>2</v>
      </c>
      <c r="C14" s="14" t="s">
        <v>71</v>
      </c>
      <c r="D14" s="20" t="n">
        <f aca="false">Assumptions!$B$6</f>
        <v>1380</v>
      </c>
      <c r="E14" s="21" t="n">
        <v>100</v>
      </c>
      <c r="F14" s="21" t="n">
        <v>67.7</v>
      </c>
      <c r="G14" s="21" t="n">
        <v>59.7</v>
      </c>
      <c r="H14" s="20" t="n">
        <f aca="false">SUM(E14:G14)</f>
        <v>227.4</v>
      </c>
      <c r="I14" s="20" t="n">
        <f aca="false">D14-H14</f>
        <v>1152.6</v>
      </c>
      <c r="J14" s="15" t="n">
        <v>100758</v>
      </c>
      <c r="K14" s="15" t="n">
        <v>3875</v>
      </c>
      <c r="L14" s="20" t="n">
        <f aca="false">J14-K14</f>
        <v>96883</v>
      </c>
    </row>
    <row r="15" customFormat="false" ht="15" hidden="false" customHeight="true" outlineLevel="0" collapsed="false">
      <c r="A15" s="19" t="s">
        <v>81</v>
      </c>
      <c r="B15" s="14" t="n">
        <v>2</v>
      </c>
      <c r="C15" s="14" t="s">
        <v>71</v>
      </c>
      <c r="D15" s="20" t="n">
        <f aca="false">Assumptions!$B$6</f>
        <v>1380</v>
      </c>
      <c r="E15" s="21" t="n">
        <v>112.5</v>
      </c>
      <c r="F15" s="21" t="n">
        <v>68.3</v>
      </c>
      <c r="G15" s="21" t="n">
        <v>47.5</v>
      </c>
      <c r="H15" s="20" t="n">
        <f aca="false">SUM(E15:G15)</f>
        <v>228.3</v>
      </c>
      <c r="I15" s="20" t="n">
        <f aca="false">D15-H15</f>
        <v>1151.7</v>
      </c>
      <c r="J15" s="15" t="n">
        <v>101289</v>
      </c>
      <c r="K15" s="15" t="n">
        <v>5310</v>
      </c>
      <c r="L15" s="20" t="n">
        <f aca="false">J15-K15</f>
        <v>95979</v>
      </c>
    </row>
    <row r="16" customFormat="false" ht="15" hidden="false" customHeight="true" outlineLevel="0" collapsed="false">
      <c r="A16" s="19" t="s">
        <v>82</v>
      </c>
      <c r="B16" s="14" t="n">
        <v>2</v>
      </c>
      <c r="C16" s="14" t="s">
        <v>71</v>
      </c>
      <c r="D16" s="20" t="n">
        <f aca="false">Assumptions!$B$6</f>
        <v>1380</v>
      </c>
      <c r="E16" s="21" t="n">
        <v>119.8</v>
      </c>
      <c r="F16" s="21" t="n">
        <v>64.6</v>
      </c>
      <c r="G16" s="21" t="n">
        <v>50.1</v>
      </c>
      <c r="H16" s="20" t="n">
        <f aca="false">SUM(E16:G16)</f>
        <v>234.5</v>
      </c>
      <c r="I16" s="20" t="n">
        <f aca="false">D16-H16</f>
        <v>1145.5</v>
      </c>
      <c r="J16" s="15" t="n">
        <v>100099</v>
      </c>
      <c r="K16" s="15" t="n">
        <v>5220</v>
      </c>
      <c r="L16" s="20" t="n">
        <f aca="false">J16-K16</f>
        <v>94879</v>
      </c>
    </row>
    <row r="17" customFormat="false" ht="15" hidden="false" customHeight="true" outlineLevel="0" collapsed="false">
      <c r="A17" s="19" t="s">
        <v>83</v>
      </c>
      <c r="B17" s="14" t="n">
        <v>2</v>
      </c>
      <c r="C17" s="14" t="s">
        <v>71</v>
      </c>
      <c r="D17" s="20" t="n">
        <f aca="false">Assumptions!$B$6</f>
        <v>1380</v>
      </c>
      <c r="E17" s="21" t="n">
        <v>102.9</v>
      </c>
      <c r="F17" s="21" t="n">
        <v>69.9</v>
      </c>
      <c r="G17" s="21" t="n">
        <v>44.5</v>
      </c>
      <c r="H17" s="20" t="n">
        <f aca="false">SUM(E17:G17)</f>
        <v>217.3</v>
      </c>
      <c r="I17" s="20" t="n">
        <f aca="false">D17-H17</f>
        <v>1162.7</v>
      </c>
      <c r="J17" s="15" t="n">
        <v>98057</v>
      </c>
      <c r="K17" s="15" t="n">
        <v>5034</v>
      </c>
      <c r="L17" s="20" t="n">
        <f aca="false">J17-K17</f>
        <v>93023</v>
      </c>
    </row>
    <row r="18" customFormat="false" ht="15" hidden="false" customHeight="true" outlineLevel="0" collapsed="false">
      <c r="A18" s="19" t="s">
        <v>84</v>
      </c>
      <c r="B18" s="14" t="n">
        <v>2</v>
      </c>
      <c r="C18" s="14" t="s">
        <v>71</v>
      </c>
      <c r="D18" s="20" t="n">
        <f aca="false">Assumptions!$B$6</f>
        <v>1380</v>
      </c>
      <c r="E18" s="21" t="n">
        <v>124.9</v>
      </c>
      <c r="F18" s="21" t="n">
        <v>70.8</v>
      </c>
      <c r="G18" s="21" t="n">
        <v>59.3</v>
      </c>
      <c r="H18" s="20" t="n">
        <f aca="false">SUM(E18:G18)</f>
        <v>255</v>
      </c>
      <c r="I18" s="20" t="n">
        <f aca="false">D18-H18</f>
        <v>1125</v>
      </c>
      <c r="J18" s="15" t="n">
        <v>98382</v>
      </c>
      <c r="K18" s="15" t="n">
        <v>4333</v>
      </c>
      <c r="L18" s="20" t="n">
        <f aca="false">J18-K18</f>
        <v>94049</v>
      </c>
    </row>
    <row r="19" customFormat="false" ht="15" hidden="false" customHeight="true" outlineLevel="0" collapsed="false">
      <c r="A19" s="19" t="s">
        <v>85</v>
      </c>
      <c r="B19" s="14" t="n">
        <v>3</v>
      </c>
      <c r="C19" s="14" t="s">
        <v>71</v>
      </c>
      <c r="D19" s="20" t="n">
        <f aca="false">Assumptions!$B$6</f>
        <v>1380</v>
      </c>
      <c r="E19" s="21" t="n">
        <v>106.6</v>
      </c>
      <c r="F19" s="21" t="n">
        <v>80</v>
      </c>
      <c r="G19" s="21" t="n">
        <v>49.3</v>
      </c>
      <c r="H19" s="20" t="n">
        <f aca="false">SUM(E19:G19)</f>
        <v>235.9</v>
      </c>
      <c r="I19" s="20" t="n">
        <f aca="false">D19-H19</f>
        <v>1144.1</v>
      </c>
      <c r="J19" s="15" t="n">
        <v>103634</v>
      </c>
      <c r="K19" s="15" t="n">
        <v>3259</v>
      </c>
      <c r="L19" s="20" t="n">
        <f aca="false">J19-K19</f>
        <v>100375</v>
      </c>
    </row>
    <row r="20" customFormat="false" ht="15" hidden="false" customHeight="true" outlineLevel="0" collapsed="false">
      <c r="A20" s="19" t="s">
        <v>86</v>
      </c>
      <c r="B20" s="14" t="n">
        <v>3</v>
      </c>
      <c r="C20" s="14" t="s">
        <v>71</v>
      </c>
      <c r="D20" s="20" t="n">
        <f aca="false">Assumptions!$B$6</f>
        <v>1380</v>
      </c>
      <c r="E20" s="21" t="n">
        <v>112.1</v>
      </c>
      <c r="F20" s="21" t="n">
        <v>68.4</v>
      </c>
      <c r="G20" s="21" t="n">
        <v>47.5</v>
      </c>
      <c r="H20" s="20" t="n">
        <f aca="false">SUM(E20:G20)</f>
        <v>228</v>
      </c>
      <c r="I20" s="20" t="n">
        <f aca="false">D20-H20</f>
        <v>1152</v>
      </c>
      <c r="J20" s="15" t="n">
        <v>100958</v>
      </c>
      <c r="K20" s="15" t="n">
        <v>3494</v>
      </c>
      <c r="L20" s="20" t="n">
        <f aca="false">J20-K20</f>
        <v>97464</v>
      </c>
    </row>
    <row r="21" customFormat="false" ht="15" hidden="false" customHeight="true" outlineLevel="0" collapsed="false">
      <c r="A21" s="19" t="s">
        <v>87</v>
      </c>
      <c r="B21" s="14" t="n">
        <v>3</v>
      </c>
      <c r="C21" s="14" t="s">
        <v>71</v>
      </c>
      <c r="D21" s="20" t="n">
        <f aca="false">Assumptions!$B$6</f>
        <v>1380</v>
      </c>
      <c r="E21" s="21" t="n">
        <v>99.6</v>
      </c>
      <c r="F21" s="21" t="n">
        <v>70.6</v>
      </c>
      <c r="G21" s="21" t="n">
        <v>59.9</v>
      </c>
      <c r="H21" s="20" t="n">
        <f aca="false">SUM(E21:G21)</f>
        <v>230.1</v>
      </c>
      <c r="I21" s="20" t="n">
        <f aca="false">D21-H21</f>
        <v>1149.9</v>
      </c>
      <c r="J21" s="15" t="n">
        <v>99371</v>
      </c>
      <c r="K21" s="15" t="n">
        <v>4025</v>
      </c>
      <c r="L21" s="20" t="n">
        <f aca="false">J21-K21</f>
        <v>95346</v>
      </c>
    </row>
    <row r="22" customFormat="false" ht="15" hidden="false" customHeight="true" outlineLevel="0" collapsed="false">
      <c r="A22" s="19" t="s">
        <v>88</v>
      </c>
      <c r="B22" s="14" t="n">
        <v>3</v>
      </c>
      <c r="C22" s="14" t="s">
        <v>71</v>
      </c>
      <c r="D22" s="20" t="n">
        <f aca="false">Assumptions!$B$6</f>
        <v>1380</v>
      </c>
      <c r="E22" s="21" t="n">
        <v>96.3</v>
      </c>
      <c r="F22" s="21" t="n">
        <v>75.1</v>
      </c>
      <c r="G22" s="21" t="n">
        <v>51.8</v>
      </c>
      <c r="H22" s="20" t="n">
        <f aca="false">SUM(E22:G22)</f>
        <v>223.2</v>
      </c>
      <c r="I22" s="20" t="n">
        <f aca="false">D22-H22</f>
        <v>1156.8</v>
      </c>
      <c r="J22" s="15" t="n">
        <v>99946</v>
      </c>
      <c r="K22" s="15" t="n">
        <v>4709</v>
      </c>
      <c r="L22" s="20" t="n">
        <f aca="false">J22-K22</f>
        <v>95237</v>
      </c>
    </row>
    <row r="23" customFormat="false" ht="15" hidden="false" customHeight="true" outlineLevel="0" collapsed="false">
      <c r="A23" s="19" t="s">
        <v>89</v>
      </c>
      <c r="B23" s="14" t="n">
        <v>3</v>
      </c>
      <c r="C23" s="14" t="s">
        <v>71</v>
      </c>
      <c r="D23" s="20" t="n">
        <f aca="false">Assumptions!$B$6</f>
        <v>1380</v>
      </c>
      <c r="E23" s="21" t="n">
        <v>103.4</v>
      </c>
      <c r="F23" s="21" t="n">
        <v>75.5</v>
      </c>
      <c r="G23" s="21" t="n">
        <v>44.6</v>
      </c>
      <c r="H23" s="20" t="n">
        <f aca="false">SUM(E23:G23)</f>
        <v>223.5</v>
      </c>
      <c r="I23" s="20" t="n">
        <f aca="false">D23-H23</f>
        <v>1156.5</v>
      </c>
      <c r="J23" s="15" t="n">
        <v>100379</v>
      </c>
      <c r="K23" s="15" t="n">
        <v>4275</v>
      </c>
      <c r="L23" s="20" t="n">
        <f aca="false">J23-K23</f>
        <v>96104</v>
      </c>
    </row>
    <row r="24" customFormat="false" ht="15" hidden="false" customHeight="true" outlineLevel="0" collapsed="false">
      <c r="A24" s="19" t="s">
        <v>90</v>
      </c>
      <c r="B24" s="14" t="n">
        <v>3</v>
      </c>
      <c r="C24" s="14" t="s">
        <v>71</v>
      </c>
      <c r="D24" s="20" t="n">
        <f aca="false">Assumptions!$B$6</f>
        <v>1380</v>
      </c>
      <c r="E24" s="21" t="n">
        <v>84.7</v>
      </c>
      <c r="F24" s="21" t="n">
        <v>70.1</v>
      </c>
      <c r="G24" s="21" t="n">
        <v>51.4</v>
      </c>
      <c r="H24" s="20" t="n">
        <f aca="false">SUM(E24:G24)</f>
        <v>206.2</v>
      </c>
      <c r="I24" s="20" t="n">
        <f aca="false">D24-H24</f>
        <v>1173.8</v>
      </c>
      <c r="J24" s="15" t="n">
        <v>102668</v>
      </c>
      <c r="K24" s="15" t="n">
        <v>4453</v>
      </c>
      <c r="L24" s="20" t="n">
        <f aca="false">J24-K24</f>
        <v>98215</v>
      </c>
    </row>
    <row r="25" customFormat="false" ht="15" hidden="false" customHeight="true" outlineLevel="0" collapsed="false">
      <c r="A25" s="19" t="s">
        <v>91</v>
      </c>
      <c r="B25" s="14" t="n">
        <v>3</v>
      </c>
      <c r="C25" s="14" t="s">
        <v>71</v>
      </c>
      <c r="D25" s="20" t="n">
        <f aca="false">Assumptions!$B$6</f>
        <v>1380</v>
      </c>
      <c r="E25" s="21" t="n">
        <v>85.3</v>
      </c>
      <c r="F25" s="21" t="n">
        <v>64.4</v>
      </c>
      <c r="G25" s="21" t="n">
        <v>47.1</v>
      </c>
      <c r="H25" s="20" t="n">
        <f aca="false">SUM(E25:G25)</f>
        <v>196.8</v>
      </c>
      <c r="I25" s="20" t="n">
        <f aca="false">D25-H25</f>
        <v>1183.2</v>
      </c>
      <c r="J25" s="15" t="n">
        <v>101578</v>
      </c>
      <c r="K25" s="15" t="n">
        <v>4443</v>
      </c>
      <c r="L25" s="20" t="n">
        <f aca="false">J25-K25</f>
        <v>97135</v>
      </c>
    </row>
    <row r="26" customFormat="false" ht="15" hidden="false" customHeight="true" outlineLevel="0" collapsed="false">
      <c r="A26" s="19" t="s">
        <v>92</v>
      </c>
      <c r="B26" s="14" t="n">
        <v>4</v>
      </c>
      <c r="C26" s="14" t="s">
        <v>71</v>
      </c>
      <c r="D26" s="20" t="n">
        <f aca="false">Assumptions!$B$6</f>
        <v>1380</v>
      </c>
      <c r="E26" s="21" t="n">
        <v>100.8</v>
      </c>
      <c r="F26" s="21" t="n">
        <v>79.2</v>
      </c>
      <c r="G26" s="21" t="n">
        <v>48</v>
      </c>
      <c r="H26" s="20" t="n">
        <f aca="false">SUM(E26:G26)</f>
        <v>228</v>
      </c>
      <c r="I26" s="20" t="n">
        <f aca="false">D26-H26</f>
        <v>1152</v>
      </c>
      <c r="J26" s="15" t="n">
        <v>102181</v>
      </c>
      <c r="K26" s="15" t="n">
        <v>4235</v>
      </c>
      <c r="L26" s="20" t="n">
        <f aca="false">J26-K26</f>
        <v>97946</v>
      </c>
    </row>
    <row r="27" customFormat="false" ht="15" hidden="false" customHeight="true" outlineLevel="0" collapsed="false">
      <c r="A27" s="19" t="s">
        <v>93</v>
      </c>
      <c r="B27" s="14" t="n">
        <v>4</v>
      </c>
      <c r="C27" s="14" t="s">
        <v>71</v>
      </c>
      <c r="D27" s="20" t="n">
        <f aca="false">Assumptions!$B$6</f>
        <v>1380</v>
      </c>
      <c r="E27" s="21" t="n">
        <v>72.9</v>
      </c>
      <c r="F27" s="21" t="n">
        <v>63.9</v>
      </c>
      <c r="G27" s="21" t="n">
        <v>47.2</v>
      </c>
      <c r="H27" s="20" t="n">
        <f aca="false">SUM(E27:G27)</f>
        <v>184</v>
      </c>
      <c r="I27" s="20" t="n">
        <f aca="false">D27-H27</f>
        <v>1196</v>
      </c>
      <c r="J27" s="15" t="n">
        <v>111357</v>
      </c>
      <c r="K27" s="15" t="n">
        <v>4550</v>
      </c>
      <c r="L27" s="20" t="n">
        <f aca="false">J27-K27</f>
        <v>106807</v>
      </c>
    </row>
    <row r="28" customFormat="false" ht="15" hidden="false" customHeight="true" outlineLevel="0" collapsed="false">
      <c r="A28" s="19" t="s">
        <v>94</v>
      </c>
      <c r="B28" s="14" t="n">
        <v>4</v>
      </c>
      <c r="C28" s="14" t="s">
        <v>71</v>
      </c>
      <c r="D28" s="20" t="n">
        <f aca="false">Assumptions!$B$6</f>
        <v>1380</v>
      </c>
      <c r="E28" s="21" t="n">
        <v>99.5</v>
      </c>
      <c r="F28" s="21" t="n">
        <v>63.8</v>
      </c>
      <c r="G28" s="21" t="n">
        <v>38.6</v>
      </c>
      <c r="H28" s="20" t="n">
        <f aca="false">SUM(E28:G28)</f>
        <v>201.9</v>
      </c>
      <c r="I28" s="20" t="n">
        <f aca="false">D28-H28</f>
        <v>1178.1</v>
      </c>
      <c r="J28" s="15" t="n">
        <v>106573</v>
      </c>
      <c r="K28" s="15" t="n">
        <v>4857</v>
      </c>
      <c r="L28" s="20" t="n">
        <f aca="false">J28-K28</f>
        <v>101716</v>
      </c>
    </row>
    <row r="29" customFormat="false" ht="15" hidden="false" customHeight="true" outlineLevel="0" collapsed="false">
      <c r="A29" s="19" t="s">
        <v>95</v>
      </c>
      <c r="B29" s="14" t="n">
        <v>4</v>
      </c>
      <c r="C29" s="14" t="s">
        <v>71</v>
      </c>
      <c r="D29" s="20" t="n">
        <f aca="false">Assumptions!$B$6</f>
        <v>1380</v>
      </c>
      <c r="E29" s="21" t="n">
        <v>105.4</v>
      </c>
      <c r="F29" s="21" t="n">
        <v>56.8</v>
      </c>
      <c r="G29" s="21" t="n">
        <v>56.6</v>
      </c>
      <c r="H29" s="20" t="n">
        <f aca="false">SUM(E29:G29)</f>
        <v>218.8</v>
      </c>
      <c r="I29" s="20" t="n">
        <f aca="false">D29-H29</f>
        <v>1161.2</v>
      </c>
      <c r="J29" s="15" t="n">
        <v>99136</v>
      </c>
      <c r="K29" s="15" t="n">
        <v>4437</v>
      </c>
      <c r="L29" s="20" t="n">
        <f aca="false">J29-K29</f>
        <v>94699</v>
      </c>
    </row>
    <row r="30" customFormat="false" ht="15" hidden="false" customHeight="true" outlineLevel="0" collapsed="false">
      <c r="A30" s="19" t="s">
        <v>96</v>
      </c>
      <c r="B30" s="14" t="n">
        <v>4</v>
      </c>
      <c r="C30" s="14" t="s">
        <v>71</v>
      </c>
      <c r="D30" s="20" t="n">
        <f aca="false">Assumptions!$B$6</f>
        <v>1380</v>
      </c>
      <c r="E30" s="21" t="n">
        <v>122.2</v>
      </c>
      <c r="F30" s="21" t="n">
        <v>56.2</v>
      </c>
      <c r="G30" s="21" t="n">
        <v>42.9</v>
      </c>
      <c r="H30" s="20" t="n">
        <f aca="false">SUM(E30:G30)</f>
        <v>221.3</v>
      </c>
      <c r="I30" s="20" t="n">
        <f aca="false">D30-H30</f>
        <v>1158.7</v>
      </c>
      <c r="J30" s="15" t="n">
        <v>102415</v>
      </c>
      <c r="K30" s="15" t="n">
        <v>4025</v>
      </c>
      <c r="L30" s="20" t="n">
        <f aca="false">J30-K30</f>
        <v>98390</v>
      </c>
    </row>
    <row r="31" customFormat="false" ht="15" hidden="false" customHeight="true" outlineLevel="0" collapsed="false">
      <c r="A31" s="19" t="s">
        <v>97</v>
      </c>
      <c r="B31" s="14" t="n">
        <v>4</v>
      </c>
      <c r="C31" s="14" t="s">
        <v>71</v>
      </c>
      <c r="D31" s="20" t="n">
        <f aca="false">Assumptions!$B$6</f>
        <v>1380</v>
      </c>
      <c r="E31" s="21" t="n">
        <v>77.3</v>
      </c>
      <c r="F31" s="21" t="n">
        <v>64.6</v>
      </c>
      <c r="G31" s="21" t="n">
        <v>39.4</v>
      </c>
      <c r="H31" s="20" t="n">
        <f aca="false">SUM(E31:G31)</f>
        <v>181.3</v>
      </c>
      <c r="I31" s="20" t="n">
        <f aca="false">D31-H31</f>
        <v>1198.7</v>
      </c>
      <c r="J31" s="15" t="n">
        <v>106837</v>
      </c>
      <c r="K31" s="15" t="n">
        <v>3977</v>
      </c>
      <c r="L31" s="20" t="n">
        <f aca="false">J31-K31</f>
        <v>102860</v>
      </c>
    </row>
    <row r="32" customFormat="false" ht="15" hidden="false" customHeight="true" outlineLevel="0" collapsed="false">
      <c r="A32" s="19" t="s">
        <v>98</v>
      </c>
      <c r="B32" s="14" t="n">
        <v>4</v>
      </c>
      <c r="C32" s="14" t="s">
        <v>71</v>
      </c>
      <c r="D32" s="20" t="n">
        <f aca="false">Assumptions!$B$6</f>
        <v>1380</v>
      </c>
      <c r="E32" s="21" t="n">
        <v>114.5</v>
      </c>
      <c r="F32" s="21" t="n">
        <v>57.8</v>
      </c>
      <c r="G32" s="21" t="n">
        <v>44.6</v>
      </c>
      <c r="H32" s="20" t="n">
        <f aca="false">SUM(E32:G32)</f>
        <v>216.9</v>
      </c>
      <c r="I32" s="20" t="n">
        <f aca="false">D32-H32</f>
        <v>1163.1</v>
      </c>
      <c r="J32" s="15" t="n">
        <v>104457</v>
      </c>
      <c r="K32" s="15" t="n">
        <v>3725</v>
      </c>
      <c r="L32" s="20" t="n">
        <f aca="false">J32-K32</f>
        <v>100732</v>
      </c>
    </row>
    <row r="33" customFormat="false" ht="15" hidden="false" customHeight="true" outlineLevel="0" collapsed="false">
      <c r="A33" s="19" t="s">
        <v>99</v>
      </c>
      <c r="B33" s="14" t="n">
        <v>5</v>
      </c>
      <c r="C33" s="14" t="s">
        <v>100</v>
      </c>
      <c r="D33" s="20" t="n">
        <f aca="false">Assumptions!$B$6</f>
        <v>1380</v>
      </c>
      <c r="E33" s="21" t="n">
        <v>92.3</v>
      </c>
      <c r="F33" s="21" t="n">
        <v>70.9</v>
      </c>
      <c r="G33" s="21" t="n">
        <v>32.8</v>
      </c>
      <c r="H33" s="20" t="n">
        <f aca="false">SUM(E33:G33)</f>
        <v>196</v>
      </c>
      <c r="I33" s="20" t="n">
        <f aca="false">D33-H33</f>
        <v>1184</v>
      </c>
      <c r="J33" s="15" t="n">
        <v>105703</v>
      </c>
      <c r="K33" s="15" t="n">
        <v>4269</v>
      </c>
      <c r="L33" s="20" t="n">
        <f aca="false">J33-K33</f>
        <v>101434</v>
      </c>
    </row>
    <row r="34" customFormat="false" ht="15" hidden="false" customHeight="true" outlineLevel="0" collapsed="false">
      <c r="A34" s="19" t="s">
        <v>101</v>
      </c>
      <c r="B34" s="14" t="n">
        <v>5</v>
      </c>
      <c r="C34" s="14" t="s">
        <v>100</v>
      </c>
      <c r="D34" s="20" t="n">
        <f aca="false">Assumptions!$B$6</f>
        <v>1380</v>
      </c>
      <c r="E34" s="21" t="n">
        <v>98.9</v>
      </c>
      <c r="F34" s="21" t="n">
        <v>50.6</v>
      </c>
      <c r="G34" s="21" t="n">
        <v>34.8</v>
      </c>
      <c r="H34" s="20" t="n">
        <f aca="false">SUM(E34:G34)</f>
        <v>184.3</v>
      </c>
      <c r="I34" s="20" t="n">
        <f aca="false">D34-H34</f>
        <v>1195.7</v>
      </c>
      <c r="J34" s="15" t="n">
        <v>107554</v>
      </c>
      <c r="K34" s="15" t="n">
        <v>4364</v>
      </c>
      <c r="L34" s="20" t="n">
        <f aca="false">J34-K34</f>
        <v>103190</v>
      </c>
    </row>
    <row r="35" customFormat="false" ht="15" hidden="false" customHeight="true" outlineLevel="0" collapsed="false">
      <c r="A35" s="19" t="s">
        <v>102</v>
      </c>
      <c r="B35" s="14" t="n">
        <v>5</v>
      </c>
      <c r="C35" s="14" t="s">
        <v>100</v>
      </c>
      <c r="D35" s="20" t="n">
        <f aca="false">Assumptions!$B$6</f>
        <v>1380</v>
      </c>
      <c r="E35" s="21" t="n">
        <v>92.6</v>
      </c>
      <c r="F35" s="21" t="n">
        <v>63.2</v>
      </c>
      <c r="G35" s="21" t="n">
        <v>39.3</v>
      </c>
      <c r="H35" s="20" t="n">
        <f aca="false">SUM(E35:G35)</f>
        <v>195.1</v>
      </c>
      <c r="I35" s="20" t="n">
        <f aca="false">D35-H35</f>
        <v>1184.9</v>
      </c>
      <c r="J35" s="15" t="n">
        <v>105898</v>
      </c>
      <c r="K35" s="15" t="n">
        <v>4295</v>
      </c>
      <c r="L35" s="20" t="n">
        <f aca="false">J35-K35</f>
        <v>101603</v>
      </c>
    </row>
    <row r="36" customFormat="false" ht="15" hidden="false" customHeight="true" outlineLevel="0" collapsed="false">
      <c r="A36" s="19" t="s">
        <v>103</v>
      </c>
      <c r="B36" s="14" t="n">
        <v>5</v>
      </c>
      <c r="C36" s="14" t="s">
        <v>100</v>
      </c>
      <c r="D36" s="20" t="n">
        <f aca="false">Assumptions!$B$6</f>
        <v>1380</v>
      </c>
      <c r="E36" s="21" t="n">
        <v>81</v>
      </c>
      <c r="F36" s="21" t="n">
        <v>75.4</v>
      </c>
      <c r="G36" s="21" t="n">
        <v>47.4</v>
      </c>
      <c r="H36" s="20" t="n">
        <f aca="false">SUM(E36:G36)</f>
        <v>203.8</v>
      </c>
      <c r="I36" s="20" t="n">
        <f aca="false">D36-H36</f>
        <v>1176.2</v>
      </c>
      <c r="J36" s="15" t="n">
        <v>101776</v>
      </c>
      <c r="K36" s="15" t="n">
        <v>4313</v>
      </c>
      <c r="L36" s="20" t="n">
        <f aca="false">J36-K36</f>
        <v>97463</v>
      </c>
    </row>
    <row r="37" customFormat="false" ht="15" hidden="false" customHeight="true" outlineLevel="0" collapsed="false">
      <c r="A37" s="19" t="s">
        <v>104</v>
      </c>
      <c r="B37" s="14" t="n">
        <v>5</v>
      </c>
      <c r="C37" s="14" t="s">
        <v>100</v>
      </c>
      <c r="D37" s="20" t="n">
        <f aca="false">Assumptions!$B$6</f>
        <v>1380</v>
      </c>
      <c r="E37" s="21" t="n">
        <v>77.8</v>
      </c>
      <c r="F37" s="21" t="n">
        <v>66.8</v>
      </c>
      <c r="G37" s="21" t="n">
        <v>52.2</v>
      </c>
      <c r="H37" s="20" t="n">
        <f aca="false">SUM(E37:G37)</f>
        <v>196.8</v>
      </c>
      <c r="I37" s="20" t="n">
        <f aca="false">D37-H37</f>
        <v>1183.2</v>
      </c>
      <c r="J37" s="15" t="n">
        <v>103255</v>
      </c>
      <c r="K37" s="15" t="n">
        <v>4534</v>
      </c>
      <c r="L37" s="20" t="n">
        <f aca="false">J37-K37</f>
        <v>98721</v>
      </c>
    </row>
    <row r="38" customFormat="false" ht="15" hidden="false" customHeight="true" outlineLevel="0" collapsed="false">
      <c r="A38" s="19" t="s">
        <v>105</v>
      </c>
      <c r="B38" s="14" t="n">
        <v>5</v>
      </c>
      <c r="C38" s="14" t="s">
        <v>100</v>
      </c>
      <c r="D38" s="20" t="n">
        <f aca="false">Assumptions!$B$6</f>
        <v>1380</v>
      </c>
      <c r="E38" s="21" t="n">
        <v>94.5</v>
      </c>
      <c r="F38" s="21" t="n">
        <v>67</v>
      </c>
      <c r="G38" s="21" t="n">
        <v>57.4</v>
      </c>
      <c r="H38" s="20" t="n">
        <f aca="false">SUM(E38:G38)</f>
        <v>218.9</v>
      </c>
      <c r="I38" s="20" t="n">
        <f aca="false">D38-H38</f>
        <v>1161.1</v>
      </c>
      <c r="J38" s="15" t="n">
        <v>102663</v>
      </c>
      <c r="K38" s="15" t="n">
        <v>3626</v>
      </c>
      <c r="L38" s="20" t="n">
        <f aca="false">J38-K38</f>
        <v>99037</v>
      </c>
    </row>
    <row r="39" customFormat="false" ht="15" hidden="false" customHeight="true" outlineLevel="0" collapsed="false">
      <c r="A39" s="19" t="s">
        <v>106</v>
      </c>
      <c r="B39" s="14" t="n">
        <v>5</v>
      </c>
      <c r="C39" s="14" t="s">
        <v>100</v>
      </c>
      <c r="D39" s="20" t="n">
        <f aca="false">Assumptions!$B$6</f>
        <v>1380</v>
      </c>
      <c r="E39" s="21" t="n">
        <v>78.9</v>
      </c>
      <c r="F39" s="21" t="n">
        <v>53.9</v>
      </c>
      <c r="G39" s="21" t="n">
        <v>43.6</v>
      </c>
      <c r="H39" s="20" t="n">
        <f aca="false">SUM(E39:G39)</f>
        <v>176.4</v>
      </c>
      <c r="I39" s="20" t="n">
        <f aca="false">D39-H39</f>
        <v>1203.6</v>
      </c>
      <c r="J39" s="15" t="n">
        <v>107837</v>
      </c>
      <c r="K39" s="15" t="n">
        <v>4365</v>
      </c>
      <c r="L39" s="20" t="n">
        <f aca="false">J39-K39</f>
        <v>103472</v>
      </c>
    </row>
    <row r="40" customFormat="false" ht="15" hidden="false" customHeight="true" outlineLevel="0" collapsed="false">
      <c r="A40" s="19" t="s">
        <v>107</v>
      </c>
      <c r="B40" s="14" t="n">
        <v>6</v>
      </c>
      <c r="C40" s="14" t="s">
        <v>100</v>
      </c>
      <c r="D40" s="20" t="n">
        <f aca="false">Assumptions!$B$6</f>
        <v>1380</v>
      </c>
      <c r="E40" s="21" t="n">
        <v>93.1</v>
      </c>
      <c r="F40" s="21" t="n">
        <v>56.9</v>
      </c>
      <c r="G40" s="21" t="n">
        <v>51.5</v>
      </c>
      <c r="H40" s="20" t="n">
        <f aca="false">SUM(E40:G40)</f>
        <v>201.5</v>
      </c>
      <c r="I40" s="20" t="n">
        <f aca="false">D40-H40</f>
        <v>1178.5</v>
      </c>
      <c r="J40" s="15" t="n">
        <v>105007</v>
      </c>
      <c r="K40" s="15" t="n">
        <v>5247</v>
      </c>
      <c r="L40" s="20" t="n">
        <f aca="false">J40-K40</f>
        <v>99760</v>
      </c>
    </row>
    <row r="41" customFormat="false" ht="15" hidden="false" customHeight="true" outlineLevel="0" collapsed="false">
      <c r="A41" s="19" t="s">
        <v>108</v>
      </c>
      <c r="B41" s="14" t="n">
        <v>6</v>
      </c>
      <c r="C41" s="14" t="s">
        <v>100</v>
      </c>
      <c r="D41" s="20" t="n">
        <f aca="false">Assumptions!$B$6</f>
        <v>1380</v>
      </c>
      <c r="E41" s="21" t="n">
        <v>90.7</v>
      </c>
      <c r="F41" s="21" t="n">
        <v>50</v>
      </c>
      <c r="G41" s="21" t="n">
        <v>33.9</v>
      </c>
      <c r="H41" s="20" t="n">
        <f aca="false">SUM(E41:G41)</f>
        <v>174.6</v>
      </c>
      <c r="I41" s="20" t="n">
        <f aca="false">D41-H41</f>
        <v>1205.4</v>
      </c>
      <c r="J41" s="15" t="n">
        <v>109218</v>
      </c>
      <c r="K41" s="15" t="n">
        <v>3850</v>
      </c>
      <c r="L41" s="20" t="n">
        <f aca="false">J41-K41</f>
        <v>105368</v>
      </c>
    </row>
    <row r="42" customFormat="false" ht="15" hidden="false" customHeight="true" outlineLevel="0" collapsed="false">
      <c r="A42" s="19" t="s">
        <v>109</v>
      </c>
      <c r="B42" s="14" t="n">
        <v>6</v>
      </c>
      <c r="C42" s="14" t="s">
        <v>100</v>
      </c>
      <c r="D42" s="20" t="n">
        <f aca="false">Assumptions!$B$6</f>
        <v>1380</v>
      </c>
      <c r="E42" s="21" t="n">
        <v>91.7</v>
      </c>
      <c r="F42" s="21" t="n">
        <v>60.6</v>
      </c>
      <c r="G42" s="21" t="n">
        <v>40.9</v>
      </c>
      <c r="H42" s="20" t="n">
        <f aca="false">SUM(E42:G42)</f>
        <v>193.2</v>
      </c>
      <c r="I42" s="20" t="n">
        <f aca="false">D42-H42</f>
        <v>1186.8</v>
      </c>
      <c r="J42" s="15" t="n">
        <v>104370</v>
      </c>
      <c r="K42" s="15" t="n">
        <v>3005</v>
      </c>
      <c r="L42" s="20" t="n">
        <f aca="false">J42-K42</f>
        <v>101365</v>
      </c>
    </row>
    <row r="43" customFormat="false" ht="15" hidden="false" customHeight="true" outlineLevel="0" collapsed="false">
      <c r="A43" s="19" t="s">
        <v>110</v>
      </c>
      <c r="B43" s="14" t="n">
        <v>6</v>
      </c>
      <c r="C43" s="14" t="s">
        <v>100</v>
      </c>
      <c r="D43" s="20" t="n">
        <f aca="false">Assumptions!$B$6</f>
        <v>1380</v>
      </c>
      <c r="E43" s="21" t="n">
        <v>77.8</v>
      </c>
      <c r="F43" s="21" t="n">
        <v>63.7</v>
      </c>
      <c r="G43" s="21" t="n">
        <v>42.9</v>
      </c>
      <c r="H43" s="20" t="n">
        <f aca="false">SUM(E43:G43)</f>
        <v>184.4</v>
      </c>
      <c r="I43" s="20" t="n">
        <f aca="false">D43-H43</f>
        <v>1195.6</v>
      </c>
      <c r="J43" s="15" t="n">
        <v>104194</v>
      </c>
      <c r="K43" s="15" t="n">
        <v>3879</v>
      </c>
      <c r="L43" s="20" t="n">
        <f aca="false">J43-K43</f>
        <v>100315</v>
      </c>
    </row>
    <row r="44" customFormat="false" ht="15" hidden="false" customHeight="true" outlineLevel="0" collapsed="false">
      <c r="A44" s="19" t="s">
        <v>111</v>
      </c>
      <c r="B44" s="14" t="n">
        <v>6</v>
      </c>
      <c r="C44" s="14" t="s">
        <v>100</v>
      </c>
      <c r="D44" s="20" t="n">
        <f aca="false">Assumptions!$B$6</f>
        <v>1380</v>
      </c>
      <c r="E44" s="21" t="n">
        <v>87.8</v>
      </c>
      <c r="F44" s="21" t="n">
        <v>49.7</v>
      </c>
      <c r="G44" s="21" t="n">
        <v>42.4</v>
      </c>
      <c r="H44" s="20" t="n">
        <f aca="false">SUM(E44:G44)</f>
        <v>179.9</v>
      </c>
      <c r="I44" s="20" t="n">
        <f aca="false">D44-H44</f>
        <v>1200.1</v>
      </c>
      <c r="J44" s="15" t="n">
        <v>107704</v>
      </c>
      <c r="K44" s="15" t="n">
        <v>3301</v>
      </c>
      <c r="L44" s="20" t="n">
        <f aca="false">J44-K44</f>
        <v>104403</v>
      </c>
    </row>
    <row r="45" customFormat="false" ht="15" hidden="false" customHeight="true" outlineLevel="0" collapsed="false">
      <c r="A45" s="19" t="s">
        <v>112</v>
      </c>
      <c r="B45" s="14" t="n">
        <v>6</v>
      </c>
      <c r="C45" s="14" t="s">
        <v>100</v>
      </c>
      <c r="D45" s="20" t="n">
        <f aca="false">Assumptions!$B$6</f>
        <v>1380</v>
      </c>
      <c r="E45" s="21" t="n">
        <v>87.5</v>
      </c>
      <c r="F45" s="21" t="n">
        <v>61.3</v>
      </c>
      <c r="G45" s="21" t="n">
        <v>48.9</v>
      </c>
      <c r="H45" s="20" t="n">
        <f aca="false">SUM(E45:G45)</f>
        <v>197.7</v>
      </c>
      <c r="I45" s="20" t="n">
        <f aca="false">D45-H45</f>
        <v>1182.3</v>
      </c>
      <c r="J45" s="15" t="n">
        <v>108467</v>
      </c>
      <c r="K45" s="15" t="n">
        <v>3197</v>
      </c>
      <c r="L45" s="20" t="n">
        <f aca="false">J45-K45</f>
        <v>105270</v>
      </c>
    </row>
    <row r="46" customFormat="false" ht="15" hidden="false" customHeight="true" outlineLevel="0" collapsed="false">
      <c r="A46" s="19" t="s">
        <v>113</v>
      </c>
      <c r="B46" s="14" t="n">
        <v>6</v>
      </c>
      <c r="C46" s="14" t="s">
        <v>100</v>
      </c>
      <c r="D46" s="20" t="n">
        <f aca="false">Assumptions!$B$6</f>
        <v>1380</v>
      </c>
      <c r="E46" s="21" t="n">
        <v>71.9</v>
      </c>
      <c r="F46" s="21" t="n">
        <v>60.9</v>
      </c>
      <c r="G46" s="21" t="n">
        <v>45</v>
      </c>
      <c r="H46" s="20" t="n">
        <f aca="false">SUM(E46:G46)</f>
        <v>177.8</v>
      </c>
      <c r="I46" s="20" t="n">
        <f aca="false">D46-H46</f>
        <v>1202.2</v>
      </c>
      <c r="J46" s="15" t="n">
        <v>108997</v>
      </c>
      <c r="K46" s="15" t="n">
        <v>6063</v>
      </c>
      <c r="L46" s="20" t="n">
        <f aca="false">J46-K46</f>
        <v>102934</v>
      </c>
    </row>
    <row r="47" customFormat="false" ht="15" hidden="false" customHeight="true" outlineLevel="0" collapsed="false">
      <c r="A47" s="19" t="s">
        <v>114</v>
      </c>
      <c r="B47" s="14" t="n">
        <v>7</v>
      </c>
      <c r="C47" s="14" t="s">
        <v>100</v>
      </c>
      <c r="D47" s="20" t="n">
        <f aca="false">Assumptions!$B$6</f>
        <v>1380</v>
      </c>
      <c r="E47" s="21" t="n">
        <v>83.7</v>
      </c>
      <c r="F47" s="21" t="n">
        <v>62.3</v>
      </c>
      <c r="G47" s="21" t="n">
        <v>45.3</v>
      </c>
      <c r="H47" s="20" t="n">
        <f aca="false">SUM(E47:G47)</f>
        <v>191.3</v>
      </c>
      <c r="I47" s="20" t="n">
        <f aca="false">D47-H47</f>
        <v>1188.7</v>
      </c>
      <c r="J47" s="15" t="n">
        <v>108968</v>
      </c>
      <c r="K47" s="15" t="n">
        <v>3494</v>
      </c>
      <c r="L47" s="20" t="n">
        <f aca="false">J47-K47</f>
        <v>105474</v>
      </c>
    </row>
    <row r="48" customFormat="false" ht="15" hidden="false" customHeight="true" outlineLevel="0" collapsed="false">
      <c r="A48" s="19" t="s">
        <v>115</v>
      </c>
      <c r="B48" s="14" t="n">
        <v>7</v>
      </c>
      <c r="C48" s="14" t="s">
        <v>100</v>
      </c>
      <c r="D48" s="20" t="n">
        <f aca="false">Assumptions!$B$6</f>
        <v>1380</v>
      </c>
      <c r="E48" s="21" t="n">
        <v>85.9</v>
      </c>
      <c r="F48" s="21" t="n">
        <v>47</v>
      </c>
      <c r="G48" s="21" t="n">
        <v>37</v>
      </c>
      <c r="H48" s="20" t="n">
        <f aca="false">SUM(E48:G48)</f>
        <v>169.9</v>
      </c>
      <c r="I48" s="20" t="n">
        <f aca="false">D48-H48</f>
        <v>1210.1</v>
      </c>
      <c r="J48" s="15" t="n">
        <v>108174</v>
      </c>
      <c r="K48" s="15" t="n">
        <v>3683</v>
      </c>
      <c r="L48" s="20" t="n">
        <f aca="false">J48-K48</f>
        <v>104491</v>
      </c>
    </row>
    <row r="49" customFormat="false" ht="15" hidden="false" customHeight="true" outlineLevel="0" collapsed="false">
      <c r="A49" s="19" t="s">
        <v>116</v>
      </c>
      <c r="B49" s="14" t="n">
        <v>7</v>
      </c>
      <c r="C49" s="14" t="s">
        <v>100</v>
      </c>
      <c r="D49" s="20" t="n">
        <f aca="false">Assumptions!$B$6</f>
        <v>1380</v>
      </c>
      <c r="E49" s="21" t="n">
        <v>104.6</v>
      </c>
      <c r="F49" s="21" t="n">
        <v>38.2</v>
      </c>
      <c r="G49" s="21" t="n">
        <v>43.4</v>
      </c>
      <c r="H49" s="20" t="n">
        <f aca="false">SUM(E49:G49)</f>
        <v>186.2</v>
      </c>
      <c r="I49" s="20" t="n">
        <f aca="false">D49-H49</f>
        <v>1193.8</v>
      </c>
      <c r="J49" s="15" t="n">
        <v>104019</v>
      </c>
      <c r="K49" s="15" t="n">
        <v>3253</v>
      </c>
      <c r="L49" s="20" t="n">
        <f aca="false">J49-K49</f>
        <v>100766</v>
      </c>
    </row>
    <row r="50" customFormat="false" ht="15" hidden="false" customHeight="true" outlineLevel="0" collapsed="false">
      <c r="A50" s="19" t="s">
        <v>117</v>
      </c>
      <c r="B50" s="14" t="n">
        <v>7</v>
      </c>
      <c r="C50" s="14" t="s">
        <v>100</v>
      </c>
      <c r="D50" s="20" t="n">
        <f aca="false">Assumptions!$B$6</f>
        <v>1380</v>
      </c>
      <c r="E50" s="21" t="n">
        <v>89.9</v>
      </c>
      <c r="F50" s="21" t="n">
        <v>53.7</v>
      </c>
      <c r="G50" s="21" t="n">
        <v>31.1</v>
      </c>
      <c r="H50" s="20" t="n">
        <f aca="false">SUM(E50:G50)</f>
        <v>174.7</v>
      </c>
      <c r="I50" s="20" t="n">
        <f aca="false">D50-H50</f>
        <v>1205.3</v>
      </c>
      <c r="J50" s="15" t="n">
        <v>107193</v>
      </c>
      <c r="K50" s="15" t="n">
        <v>3970</v>
      </c>
      <c r="L50" s="20" t="n">
        <f aca="false">J50-K50</f>
        <v>103223</v>
      </c>
    </row>
    <row r="51" customFormat="false" ht="15" hidden="false" customHeight="true" outlineLevel="0" collapsed="false">
      <c r="A51" s="19" t="s">
        <v>118</v>
      </c>
      <c r="B51" s="14" t="n">
        <v>7</v>
      </c>
      <c r="C51" s="14" t="s">
        <v>100</v>
      </c>
      <c r="D51" s="20" t="n">
        <f aca="false">Assumptions!$B$6</f>
        <v>1380</v>
      </c>
      <c r="E51" s="21" t="n">
        <v>68.1</v>
      </c>
      <c r="F51" s="21" t="n">
        <v>54.9</v>
      </c>
      <c r="G51" s="21" t="n">
        <v>39</v>
      </c>
      <c r="H51" s="20" t="n">
        <f aca="false">SUM(E51:G51)</f>
        <v>162</v>
      </c>
      <c r="I51" s="20" t="n">
        <f aca="false">D51-H51</f>
        <v>1218</v>
      </c>
      <c r="J51" s="15" t="n">
        <v>108483</v>
      </c>
      <c r="K51" s="15" t="n">
        <v>4812</v>
      </c>
      <c r="L51" s="20" t="n">
        <f aca="false">J51-K51</f>
        <v>103671</v>
      </c>
    </row>
    <row r="52" customFormat="false" ht="15" hidden="false" customHeight="true" outlineLevel="0" collapsed="false">
      <c r="A52" s="19" t="s">
        <v>119</v>
      </c>
      <c r="B52" s="14" t="n">
        <v>7</v>
      </c>
      <c r="C52" s="14" t="s">
        <v>100</v>
      </c>
      <c r="D52" s="20" t="n">
        <f aca="false">Assumptions!$B$6</f>
        <v>1380</v>
      </c>
      <c r="E52" s="21" t="n">
        <v>84.4</v>
      </c>
      <c r="F52" s="21" t="n">
        <v>37</v>
      </c>
      <c r="G52" s="21" t="n">
        <v>39.9</v>
      </c>
      <c r="H52" s="20" t="n">
        <f aca="false">SUM(E52:G52)</f>
        <v>161.3</v>
      </c>
      <c r="I52" s="20" t="n">
        <f aca="false">D52-H52</f>
        <v>1218.7</v>
      </c>
      <c r="J52" s="15" t="n">
        <v>108509</v>
      </c>
      <c r="K52" s="15" t="n">
        <v>4112</v>
      </c>
      <c r="L52" s="20" t="n">
        <f aca="false">J52-K52</f>
        <v>104397</v>
      </c>
    </row>
    <row r="53" customFormat="false" ht="15" hidden="false" customHeight="true" outlineLevel="0" collapsed="false">
      <c r="A53" s="19" t="s">
        <v>120</v>
      </c>
      <c r="B53" s="14" t="n">
        <v>7</v>
      </c>
      <c r="C53" s="14" t="s">
        <v>100</v>
      </c>
      <c r="D53" s="20" t="n">
        <f aca="false">Assumptions!$B$6</f>
        <v>1380</v>
      </c>
      <c r="E53" s="21" t="n">
        <v>67.3</v>
      </c>
      <c r="F53" s="21" t="n">
        <v>52.3</v>
      </c>
      <c r="G53" s="21" t="n">
        <v>42.2</v>
      </c>
      <c r="H53" s="20" t="n">
        <f aca="false">SUM(E53:G53)</f>
        <v>161.8</v>
      </c>
      <c r="I53" s="20" t="n">
        <f aca="false">D53-H53</f>
        <v>1218.2</v>
      </c>
      <c r="J53" s="15" t="n">
        <v>112196</v>
      </c>
      <c r="K53" s="15" t="n">
        <v>3101</v>
      </c>
      <c r="L53" s="20" t="n">
        <f aca="false">J53-K53</f>
        <v>109095</v>
      </c>
    </row>
    <row r="54" customFormat="false" ht="15" hidden="false" customHeight="true" outlineLevel="0" collapsed="false">
      <c r="A54" s="19" t="s">
        <v>121</v>
      </c>
      <c r="B54" s="14" t="n">
        <v>8</v>
      </c>
      <c r="C54" s="14" t="s">
        <v>100</v>
      </c>
      <c r="D54" s="20" t="n">
        <f aca="false">Assumptions!$B$6</f>
        <v>1380</v>
      </c>
      <c r="E54" s="21" t="n">
        <v>66.4</v>
      </c>
      <c r="F54" s="21" t="n">
        <v>45.7</v>
      </c>
      <c r="G54" s="21" t="n">
        <v>31.3</v>
      </c>
      <c r="H54" s="20" t="n">
        <f aca="false">SUM(E54:G54)</f>
        <v>143.4</v>
      </c>
      <c r="I54" s="20" t="n">
        <f aca="false">D54-H54</f>
        <v>1236.6</v>
      </c>
      <c r="J54" s="15" t="n">
        <v>116998</v>
      </c>
      <c r="K54" s="15" t="n">
        <v>3853</v>
      </c>
      <c r="L54" s="20" t="n">
        <f aca="false">J54-K54</f>
        <v>113145</v>
      </c>
    </row>
    <row r="55" customFormat="false" ht="15" hidden="false" customHeight="true" outlineLevel="0" collapsed="false">
      <c r="A55" s="19" t="s">
        <v>122</v>
      </c>
      <c r="B55" s="14" t="n">
        <v>8</v>
      </c>
      <c r="C55" s="14" t="s">
        <v>100</v>
      </c>
      <c r="D55" s="20" t="n">
        <f aca="false">Assumptions!$B$6</f>
        <v>1380</v>
      </c>
      <c r="E55" s="21" t="n">
        <v>55.3</v>
      </c>
      <c r="F55" s="21" t="n">
        <v>56.9</v>
      </c>
      <c r="G55" s="21" t="n">
        <v>50.8</v>
      </c>
      <c r="H55" s="20" t="n">
        <f aca="false">SUM(E55:G55)</f>
        <v>163</v>
      </c>
      <c r="I55" s="20" t="n">
        <f aca="false">D55-H55</f>
        <v>1217</v>
      </c>
      <c r="J55" s="15" t="n">
        <v>113373</v>
      </c>
      <c r="K55" s="15" t="n">
        <v>2643</v>
      </c>
      <c r="L55" s="20" t="n">
        <f aca="false">J55-K55</f>
        <v>110730</v>
      </c>
    </row>
    <row r="56" customFormat="false" ht="15" hidden="false" customHeight="true" outlineLevel="0" collapsed="false">
      <c r="A56" s="19" t="s">
        <v>123</v>
      </c>
      <c r="B56" s="14" t="n">
        <v>8</v>
      </c>
      <c r="C56" s="14" t="s">
        <v>100</v>
      </c>
      <c r="D56" s="20" t="n">
        <f aca="false">Assumptions!$B$6</f>
        <v>1380</v>
      </c>
      <c r="E56" s="21" t="n">
        <v>64.6</v>
      </c>
      <c r="F56" s="21" t="n">
        <v>59.7</v>
      </c>
      <c r="G56" s="21" t="n">
        <v>31</v>
      </c>
      <c r="H56" s="20" t="n">
        <f aca="false">SUM(E56:G56)</f>
        <v>155.3</v>
      </c>
      <c r="I56" s="20" t="n">
        <f aca="false">D56-H56</f>
        <v>1224.7</v>
      </c>
      <c r="J56" s="15" t="n">
        <v>112648</v>
      </c>
      <c r="K56" s="15" t="n">
        <v>3918</v>
      </c>
      <c r="L56" s="20" t="n">
        <f aca="false">J56-K56</f>
        <v>108730</v>
      </c>
    </row>
    <row r="57" customFormat="false" ht="15" hidden="false" customHeight="true" outlineLevel="0" collapsed="false">
      <c r="A57" s="19" t="s">
        <v>124</v>
      </c>
      <c r="B57" s="14" t="n">
        <v>8</v>
      </c>
      <c r="C57" s="14" t="s">
        <v>100</v>
      </c>
      <c r="D57" s="20" t="n">
        <f aca="false">Assumptions!$B$6</f>
        <v>1380</v>
      </c>
      <c r="E57" s="21" t="n">
        <v>59.3</v>
      </c>
      <c r="F57" s="21" t="n">
        <v>49.1</v>
      </c>
      <c r="G57" s="21" t="n">
        <v>13.2</v>
      </c>
      <c r="H57" s="20" t="n">
        <f aca="false">SUM(E57:G57)</f>
        <v>121.6</v>
      </c>
      <c r="I57" s="20" t="n">
        <f aca="false">D57-H57</f>
        <v>1258.4</v>
      </c>
      <c r="J57" s="15" t="n">
        <v>112049</v>
      </c>
      <c r="K57" s="15" t="n">
        <v>3322</v>
      </c>
      <c r="L57" s="20" t="n">
        <f aca="false">J57-K57</f>
        <v>108727</v>
      </c>
    </row>
    <row r="58" customFormat="false" ht="15" hidden="false" customHeight="true" outlineLevel="0" collapsed="false">
      <c r="A58" s="19" t="s">
        <v>125</v>
      </c>
      <c r="B58" s="14" t="n">
        <v>8</v>
      </c>
      <c r="C58" s="14" t="s">
        <v>100</v>
      </c>
      <c r="D58" s="20" t="n">
        <f aca="false">Assumptions!$B$6</f>
        <v>1380</v>
      </c>
      <c r="E58" s="21" t="n">
        <v>55.5</v>
      </c>
      <c r="F58" s="21" t="n">
        <v>62.6</v>
      </c>
      <c r="G58" s="21" t="n">
        <v>25.9</v>
      </c>
      <c r="H58" s="20" t="n">
        <f aca="false">SUM(E58:G58)</f>
        <v>144</v>
      </c>
      <c r="I58" s="20" t="n">
        <f aca="false">D58-H58</f>
        <v>1236</v>
      </c>
      <c r="J58" s="15" t="n">
        <v>111502</v>
      </c>
      <c r="K58" s="15" t="n">
        <v>3519</v>
      </c>
      <c r="L58" s="20" t="n">
        <f aca="false">J58-K58</f>
        <v>107983</v>
      </c>
    </row>
    <row r="59" customFormat="false" ht="15" hidden="false" customHeight="true" outlineLevel="0" collapsed="false">
      <c r="A59" s="19" t="s">
        <v>126</v>
      </c>
      <c r="B59" s="14" t="n">
        <v>8</v>
      </c>
      <c r="C59" s="14" t="s">
        <v>100</v>
      </c>
      <c r="D59" s="20" t="n">
        <f aca="false">Assumptions!$B$6</f>
        <v>1380</v>
      </c>
      <c r="E59" s="21" t="n">
        <v>87.7</v>
      </c>
      <c r="F59" s="21" t="n">
        <v>38.1</v>
      </c>
      <c r="G59" s="21" t="n">
        <v>44.1</v>
      </c>
      <c r="H59" s="20" t="n">
        <f aca="false">SUM(E59:G59)</f>
        <v>169.9</v>
      </c>
      <c r="I59" s="20" t="n">
        <f aca="false">D59-H59</f>
        <v>1210.1</v>
      </c>
      <c r="J59" s="15" t="n">
        <v>110258</v>
      </c>
      <c r="K59" s="15" t="n">
        <v>2867</v>
      </c>
      <c r="L59" s="20" t="n">
        <f aca="false">J59-K59</f>
        <v>107391</v>
      </c>
    </row>
    <row r="60" customFormat="false" ht="15" hidden="false" customHeight="true" outlineLevel="0" collapsed="false">
      <c r="A60" s="19" t="s">
        <v>127</v>
      </c>
      <c r="B60" s="14" t="n">
        <v>8</v>
      </c>
      <c r="C60" s="14" t="s">
        <v>100</v>
      </c>
      <c r="D60" s="20" t="n">
        <f aca="false">Assumptions!$B$6</f>
        <v>1380</v>
      </c>
      <c r="E60" s="21" t="n">
        <v>76</v>
      </c>
      <c r="F60" s="21" t="n">
        <v>51.1</v>
      </c>
      <c r="G60" s="21" t="n">
        <v>31.7</v>
      </c>
      <c r="H60" s="20" t="n">
        <f aca="false">SUM(E60:G60)</f>
        <v>158.8</v>
      </c>
      <c r="I60" s="20" t="n">
        <f aca="false">D60-H60</f>
        <v>1221.2</v>
      </c>
      <c r="J60" s="15" t="n">
        <v>111407</v>
      </c>
      <c r="K60" s="15" t="n">
        <v>3229</v>
      </c>
      <c r="L60" s="20" t="n">
        <f aca="false">J60-K60</f>
        <v>108178</v>
      </c>
    </row>
    <row r="61" customFormat="false" ht="15" hidden="false" customHeight="true" outlineLevel="0" collapsed="false">
      <c r="A61" s="19" t="s">
        <v>128</v>
      </c>
      <c r="B61" s="14" t="n">
        <v>9</v>
      </c>
      <c r="C61" s="14" t="s">
        <v>129</v>
      </c>
      <c r="D61" s="20" t="n">
        <f aca="false">Assumptions!$B$6</f>
        <v>1380</v>
      </c>
      <c r="E61" s="21" t="n">
        <v>65.5</v>
      </c>
      <c r="F61" s="21" t="n">
        <v>51.2</v>
      </c>
      <c r="G61" s="21" t="n">
        <v>44.3</v>
      </c>
      <c r="H61" s="20" t="n">
        <f aca="false">SUM(E61:G61)</f>
        <v>161</v>
      </c>
      <c r="I61" s="20" t="n">
        <f aca="false">D61-H61</f>
        <v>1219</v>
      </c>
      <c r="J61" s="15" t="n">
        <v>108914</v>
      </c>
      <c r="K61" s="15" t="n">
        <v>4231</v>
      </c>
      <c r="L61" s="20" t="n">
        <f aca="false">J61-K61</f>
        <v>104683</v>
      </c>
    </row>
    <row r="62" customFormat="false" ht="15" hidden="false" customHeight="true" outlineLevel="0" collapsed="false">
      <c r="A62" s="19" t="s">
        <v>130</v>
      </c>
      <c r="B62" s="14" t="n">
        <v>9</v>
      </c>
      <c r="C62" s="14" t="s">
        <v>129</v>
      </c>
      <c r="D62" s="20" t="n">
        <f aca="false">Assumptions!$B$6</f>
        <v>1380</v>
      </c>
      <c r="E62" s="21" t="n">
        <v>40.7</v>
      </c>
      <c r="F62" s="21" t="n">
        <v>44.7</v>
      </c>
      <c r="G62" s="21" t="n">
        <v>37.3</v>
      </c>
      <c r="H62" s="20" t="n">
        <f aca="false">SUM(E62:G62)</f>
        <v>122.7</v>
      </c>
      <c r="I62" s="20" t="n">
        <f aca="false">D62-H62</f>
        <v>1257.3</v>
      </c>
      <c r="J62" s="15" t="n">
        <v>116153</v>
      </c>
      <c r="K62" s="15" t="n">
        <v>2912</v>
      </c>
      <c r="L62" s="20" t="n">
        <f aca="false">J62-K62</f>
        <v>113241</v>
      </c>
    </row>
    <row r="63" customFormat="false" ht="15" hidden="false" customHeight="true" outlineLevel="0" collapsed="false">
      <c r="A63" s="19" t="s">
        <v>131</v>
      </c>
      <c r="B63" s="14" t="n">
        <v>9</v>
      </c>
      <c r="C63" s="14" t="s">
        <v>129</v>
      </c>
      <c r="D63" s="20" t="n">
        <f aca="false">Assumptions!$B$6</f>
        <v>1380</v>
      </c>
      <c r="E63" s="21" t="n">
        <v>61.6</v>
      </c>
      <c r="F63" s="21" t="n">
        <v>42</v>
      </c>
      <c r="G63" s="21" t="n">
        <v>29.1</v>
      </c>
      <c r="H63" s="20" t="n">
        <f aca="false">SUM(E63:G63)</f>
        <v>132.7</v>
      </c>
      <c r="I63" s="20" t="n">
        <f aca="false">D63-H63</f>
        <v>1247.3</v>
      </c>
      <c r="J63" s="15" t="n">
        <v>116652</v>
      </c>
      <c r="K63" s="15" t="n">
        <v>3496</v>
      </c>
      <c r="L63" s="20" t="n">
        <f aca="false">J63-K63</f>
        <v>113156</v>
      </c>
    </row>
    <row r="64" customFormat="false" ht="15" hidden="false" customHeight="true" outlineLevel="0" collapsed="false">
      <c r="A64" s="19" t="s">
        <v>132</v>
      </c>
      <c r="B64" s="14" t="n">
        <v>9</v>
      </c>
      <c r="C64" s="14" t="s">
        <v>129</v>
      </c>
      <c r="D64" s="20" t="n">
        <f aca="false">Assumptions!$B$6</f>
        <v>1380</v>
      </c>
      <c r="E64" s="21" t="n">
        <v>55.8</v>
      </c>
      <c r="F64" s="21" t="n">
        <v>53.1</v>
      </c>
      <c r="G64" s="21" t="n">
        <v>35.3</v>
      </c>
      <c r="H64" s="20" t="n">
        <f aca="false">SUM(E64:G64)</f>
        <v>144.2</v>
      </c>
      <c r="I64" s="20" t="n">
        <f aca="false">D64-H64</f>
        <v>1235.8</v>
      </c>
      <c r="J64" s="15" t="n">
        <v>115477</v>
      </c>
      <c r="K64" s="15" t="n">
        <v>3618</v>
      </c>
      <c r="L64" s="20" t="n">
        <f aca="false">J64-K64</f>
        <v>111859</v>
      </c>
    </row>
    <row r="65" customFormat="false" ht="15" hidden="false" customHeight="true" outlineLevel="0" collapsed="false">
      <c r="A65" s="19" t="s">
        <v>133</v>
      </c>
      <c r="B65" s="14" t="n">
        <v>9</v>
      </c>
      <c r="C65" s="14" t="s">
        <v>129</v>
      </c>
      <c r="D65" s="20" t="n">
        <f aca="false">Assumptions!$B$6</f>
        <v>1380</v>
      </c>
      <c r="E65" s="21" t="n">
        <v>54.1</v>
      </c>
      <c r="F65" s="21" t="n">
        <v>41.4</v>
      </c>
      <c r="G65" s="21" t="n">
        <v>38.4</v>
      </c>
      <c r="H65" s="20" t="n">
        <f aca="false">SUM(E65:G65)</f>
        <v>133.9</v>
      </c>
      <c r="I65" s="20" t="n">
        <f aca="false">D65-H65</f>
        <v>1246.1</v>
      </c>
      <c r="J65" s="15" t="n">
        <v>115928</v>
      </c>
      <c r="K65" s="15" t="n">
        <v>3255</v>
      </c>
      <c r="L65" s="20" t="n">
        <f aca="false">J65-K65</f>
        <v>112673</v>
      </c>
    </row>
    <row r="66" customFormat="false" ht="15" hidden="false" customHeight="true" outlineLevel="0" collapsed="false">
      <c r="A66" s="19" t="s">
        <v>134</v>
      </c>
      <c r="B66" s="14" t="n">
        <v>9</v>
      </c>
      <c r="C66" s="14" t="s">
        <v>129</v>
      </c>
      <c r="D66" s="20" t="n">
        <f aca="false">Assumptions!$B$6</f>
        <v>1380</v>
      </c>
      <c r="E66" s="21" t="n">
        <v>65.5</v>
      </c>
      <c r="F66" s="21" t="n">
        <v>56.1</v>
      </c>
      <c r="G66" s="21" t="n">
        <v>29</v>
      </c>
      <c r="H66" s="20" t="n">
        <f aca="false">SUM(E66:G66)</f>
        <v>150.6</v>
      </c>
      <c r="I66" s="20" t="n">
        <f aca="false">D66-H66</f>
        <v>1229.4</v>
      </c>
      <c r="J66" s="15" t="n">
        <v>114220</v>
      </c>
      <c r="K66" s="15" t="n">
        <v>3103</v>
      </c>
      <c r="L66" s="20" t="n">
        <f aca="false">J66-K66</f>
        <v>111117</v>
      </c>
    </row>
    <row r="67" customFormat="false" ht="15" hidden="false" customHeight="true" outlineLevel="0" collapsed="false">
      <c r="A67" s="19" t="s">
        <v>135</v>
      </c>
      <c r="B67" s="14" t="n">
        <v>9</v>
      </c>
      <c r="C67" s="14" t="s">
        <v>129</v>
      </c>
      <c r="D67" s="20" t="n">
        <f aca="false">Assumptions!$B$6</f>
        <v>1380</v>
      </c>
      <c r="E67" s="21" t="n">
        <v>61.5</v>
      </c>
      <c r="F67" s="21" t="n">
        <v>54.7</v>
      </c>
      <c r="G67" s="21" t="n">
        <v>39</v>
      </c>
      <c r="H67" s="20" t="n">
        <f aca="false">SUM(E67:G67)</f>
        <v>155.2</v>
      </c>
      <c r="I67" s="20" t="n">
        <f aca="false">D67-H67</f>
        <v>1224.8</v>
      </c>
      <c r="J67" s="15" t="n">
        <v>114457</v>
      </c>
      <c r="K67" s="15" t="n">
        <v>3973</v>
      </c>
      <c r="L67" s="20" t="n">
        <f aca="false">J67-K67</f>
        <v>110484</v>
      </c>
    </row>
    <row r="68" customFormat="false" ht="15" hidden="false" customHeight="true" outlineLevel="0" collapsed="false">
      <c r="A68" s="19" t="s">
        <v>136</v>
      </c>
      <c r="B68" s="14" t="n">
        <v>10</v>
      </c>
      <c r="C68" s="14" t="s">
        <v>129</v>
      </c>
      <c r="D68" s="20" t="n">
        <f aca="false">Assumptions!$B$6</f>
        <v>1380</v>
      </c>
      <c r="E68" s="21" t="n">
        <v>58</v>
      </c>
      <c r="F68" s="21" t="n">
        <v>47.7</v>
      </c>
      <c r="G68" s="21" t="n">
        <v>28.3</v>
      </c>
      <c r="H68" s="20" t="n">
        <f aca="false">SUM(E68:G68)</f>
        <v>134</v>
      </c>
      <c r="I68" s="20" t="n">
        <f aca="false">D68-H68</f>
        <v>1246</v>
      </c>
      <c r="J68" s="15" t="n">
        <v>116120</v>
      </c>
      <c r="K68" s="15" t="n">
        <v>2880</v>
      </c>
      <c r="L68" s="20" t="n">
        <f aca="false">J68-K68</f>
        <v>113240</v>
      </c>
    </row>
    <row r="69" customFormat="false" ht="15" hidden="false" customHeight="true" outlineLevel="0" collapsed="false">
      <c r="A69" s="19" t="s">
        <v>137</v>
      </c>
      <c r="B69" s="14" t="n">
        <v>10</v>
      </c>
      <c r="C69" s="14" t="s">
        <v>129</v>
      </c>
      <c r="D69" s="20" t="n">
        <f aca="false">Assumptions!$B$6</f>
        <v>1380</v>
      </c>
      <c r="E69" s="21" t="n">
        <v>58.9</v>
      </c>
      <c r="F69" s="21" t="n">
        <v>47</v>
      </c>
      <c r="G69" s="21" t="n">
        <v>24.7</v>
      </c>
      <c r="H69" s="20" t="n">
        <f aca="false">SUM(E69:G69)</f>
        <v>130.6</v>
      </c>
      <c r="I69" s="20" t="n">
        <f aca="false">D69-H69</f>
        <v>1249.4</v>
      </c>
      <c r="J69" s="15" t="n">
        <v>120850</v>
      </c>
      <c r="K69" s="15" t="n">
        <v>2468</v>
      </c>
      <c r="L69" s="20" t="n">
        <f aca="false">J69-K69</f>
        <v>118382</v>
      </c>
    </row>
    <row r="70" customFormat="false" ht="15" hidden="false" customHeight="true" outlineLevel="0" collapsed="false">
      <c r="A70" s="19" t="s">
        <v>138</v>
      </c>
      <c r="B70" s="14" t="n">
        <v>10</v>
      </c>
      <c r="C70" s="14" t="s">
        <v>129</v>
      </c>
      <c r="D70" s="20" t="n">
        <f aca="false">Assumptions!$B$6</f>
        <v>1380</v>
      </c>
      <c r="E70" s="21" t="n">
        <v>43.2</v>
      </c>
      <c r="F70" s="21" t="n">
        <v>51.5</v>
      </c>
      <c r="G70" s="21" t="n">
        <v>36</v>
      </c>
      <c r="H70" s="20" t="n">
        <f aca="false">SUM(E70:G70)</f>
        <v>130.7</v>
      </c>
      <c r="I70" s="20" t="n">
        <f aca="false">D70-H70</f>
        <v>1249.3</v>
      </c>
      <c r="J70" s="15" t="n">
        <v>117177</v>
      </c>
      <c r="K70" s="15" t="n">
        <v>3351</v>
      </c>
      <c r="L70" s="20" t="n">
        <f aca="false">J70-K70</f>
        <v>113826</v>
      </c>
    </row>
    <row r="71" customFormat="false" ht="15" hidden="false" customHeight="true" outlineLevel="0" collapsed="false">
      <c r="A71" s="19" t="s">
        <v>139</v>
      </c>
      <c r="B71" s="14" t="n">
        <v>10</v>
      </c>
      <c r="C71" s="14" t="s">
        <v>129</v>
      </c>
      <c r="D71" s="20" t="n">
        <f aca="false">Assumptions!$B$6</f>
        <v>1380</v>
      </c>
      <c r="E71" s="21" t="n">
        <v>57.6</v>
      </c>
      <c r="F71" s="21" t="n">
        <v>35.1</v>
      </c>
      <c r="G71" s="21" t="n">
        <v>31</v>
      </c>
      <c r="H71" s="20" t="n">
        <f aca="false">SUM(E71:G71)</f>
        <v>123.7</v>
      </c>
      <c r="I71" s="20" t="n">
        <f aca="false">D71-H71</f>
        <v>1256.3</v>
      </c>
      <c r="J71" s="15" t="n">
        <v>114567</v>
      </c>
      <c r="K71" s="15" t="n">
        <v>3475</v>
      </c>
      <c r="L71" s="20" t="n">
        <f aca="false">J71-K71</f>
        <v>111092</v>
      </c>
    </row>
    <row r="72" customFormat="false" ht="15" hidden="false" customHeight="true" outlineLevel="0" collapsed="false">
      <c r="A72" s="19" t="s">
        <v>140</v>
      </c>
      <c r="B72" s="14" t="n">
        <v>10</v>
      </c>
      <c r="C72" s="14" t="s">
        <v>129</v>
      </c>
      <c r="D72" s="20" t="n">
        <f aca="false">Assumptions!$B$6</f>
        <v>1380</v>
      </c>
      <c r="E72" s="21" t="n">
        <v>56</v>
      </c>
      <c r="F72" s="21" t="n">
        <v>35.7</v>
      </c>
      <c r="G72" s="21" t="n">
        <v>28.2</v>
      </c>
      <c r="H72" s="20" t="n">
        <f aca="false">SUM(E72:G72)</f>
        <v>119.9</v>
      </c>
      <c r="I72" s="20" t="n">
        <f aca="false">D72-H72</f>
        <v>1260.1</v>
      </c>
      <c r="J72" s="15" t="n">
        <v>117663</v>
      </c>
      <c r="K72" s="15" t="n">
        <v>2663</v>
      </c>
      <c r="L72" s="20" t="n">
        <f aca="false">J72-K72</f>
        <v>115000</v>
      </c>
    </row>
    <row r="73" customFormat="false" ht="15" hidden="false" customHeight="true" outlineLevel="0" collapsed="false">
      <c r="A73" s="19" t="s">
        <v>141</v>
      </c>
      <c r="B73" s="14" t="n">
        <v>10</v>
      </c>
      <c r="C73" s="14" t="s">
        <v>129</v>
      </c>
      <c r="D73" s="20" t="n">
        <f aca="false">Assumptions!$B$6</f>
        <v>1380</v>
      </c>
      <c r="E73" s="21" t="n">
        <v>47.9</v>
      </c>
      <c r="F73" s="21" t="n">
        <v>44.2</v>
      </c>
      <c r="G73" s="21" t="n">
        <v>32.2</v>
      </c>
      <c r="H73" s="20" t="n">
        <f aca="false">SUM(E73:G73)</f>
        <v>124.3</v>
      </c>
      <c r="I73" s="20" t="n">
        <f aca="false">D73-H73</f>
        <v>1255.7</v>
      </c>
      <c r="J73" s="15" t="n">
        <v>114941</v>
      </c>
      <c r="K73" s="15" t="n">
        <v>2655</v>
      </c>
      <c r="L73" s="20" t="n">
        <f aca="false">J73-K73</f>
        <v>112286</v>
      </c>
    </row>
    <row r="74" customFormat="false" ht="15" hidden="false" customHeight="true" outlineLevel="0" collapsed="false">
      <c r="A74" s="19" t="s">
        <v>142</v>
      </c>
      <c r="B74" s="14" t="n">
        <v>10</v>
      </c>
      <c r="C74" s="14" t="s">
        <v>129</v>
      </c>
      <c r="D74" s="20" t="n">
        <f aca="false">Assumptions!$B$6</f>
        <v>1380</v>
      </c>
      <c r="E74" s="21" t="n">
        <v>60.5</v>
      </c>
      <c r="F74" s="21" t="n">
        <v>30.7</v>
      </c>
      <c r="G74" s="21" t="n">
        <v>20.6</v>
      </c>
      <c r="H74" s="20" t="n">
        <f aca="false">SUM(E74:G74)</f>
        <v>111.8</v>
      </c>
      <c r="I74" s="20" t="n">
        <f aca="false">D74-H74</f>
        <v>1268.2</v>
      </c>
      <c r="J74" s="15" t="n">
        <v>115544</v>
      </c>
      <c r="K74" s="15" t="n">
        <v>2818</v>
      </c>
      <c r="L74" s="20" t="n">
        <f aca="false">J74-K74</f>
        <v>112726</v>
      </c>
    </row>
    <row r="75" customFormat="false" ht="15" hidden="false" customHeight="true" outlineLevel="0" collapsed="false">
      <c r="A75" s="19" t="s">
        <v>143</v>
      </c>
      <c r="B75" s="14" t="n">
        <v>11</v>
      </c>
      <c r="C75" s="14" t="s">
        <v>129</v>
      </c>
      <c r="D75" s="20" t="n">
        <f aca="false">Assumptions!$B$6</f>
        <v>1380</v>
      </c>
      <c r="E75" s="21" t="n">
        <v>55.1</v>
      </c>
      <c r="F75" s="21" t="n">
        <v>50.4</v>
      </c>
      <c r="G75" s="21" t="n">
        <v>33.7</v>
      </c>
      <c r="H75" s="20" t="n">
        <f aca="false">SUM(E75:G75)</f>
        <v>139.2</v>
      </c>
      <c r="I75" s="20" t="n">
        <f aca="false">D75-H75</f>
        <v>1240.8</v>
      </c>
      <c r="J75" s="15" t="n">
        <v>115330</v>
      </c>
      <c r="K75" s="15" t="n">
        <v>2610</v>
      </c>
      <c r="L75" s="20" t="n">
        <f aca="false">J75-K75</f>
        <v>112720</v>
      </c>
    </row>
    <row r="76" customFormat="false" ht="15" hidden="false" customHeight="true" outlineLevel="0" collapsed="false">
      <c r="A76" s="19" t="s">
        <v>144</v>
      </c>
      <c r="B76" s="14" t="n">
        <v>11</v>
      </c>
      <c r="C76" s="14" t="s">
        <v>129</v>
      </c>
      <c r="D76" s="20" t="n">
        <f aca="false">Assumptions!$B$6</f>
        <v>1380</v>
      </c>
      <c r="E76" s="21" t="n">
        <v>39.3</v>
      </c>
      <c r="F76" s="21" t="n">
        <v>38.5</v>
      </c>
      <c r="G76" s="21" t="n">
        <v>25.7</v>
      </c>
      <c r="H76" s="20" t="n">
        <f aca="false">SUM(E76:G76)</f>
        <v>103.5</v>
      </c>
      <c r="I76" s="20" t="n">
        <f aca="false">D76-H76</f>
        <v>1276.5</v>
      </c>
      <c r="J76" s="15" t="n">
        <v>119884</v>
      </c>
      <c r="K76" s="15" t="n">
        <v>2229</v>
      </c>
      <c r="L76" s="20" t="n">
        <f aca="false">J76-K76</f>
        <v>117655</v>
      </c>
    </row>
    <row r="77" customFormat="false" ht="15" hidden="false" customHeight="true" outlineLevel="0" collapsed="false">
      <c r="A77" s="19" t="s">
        <v>145</v>
      </c>
      <c r="B77" s="14" t="n">
        <v>11</v>
      </c>
      <c r="C77" s="14" t="s">
        <v>129</v>
      </c>
      <c r="D77" s="20" t="n">
        <f aca="false">Assumptions!$B$6</f>
        <v>1380</v>
      </c>
      <c r="E77" s="21" t="n">
        <v>57.6</v>
      </c>
      <c r="F77" s="21" t="n">
        <v>50.9</v>
      </c>
      <c r="G77" s="21" t="n">
        <v>27</v>
      </c>
      <c r="H77" s="20" t="n">
        <f aca="false">SUM(E77:G77)</f>
        <v>135.5</v>
      </c>
      <c r="I77" s="20" t="n">
        <f aca="false">D77-H77</f>
        <v>1244.5</v>
      </c>
      <c r="J77" s="15" t="n">
        <v>117082</v>
      </c>
      <c r="K77" s="15" t="n">
        <v>3065</v>
      </c>
      <c r="L77" s="20" t="n">
        <f aca="false">J77-K77</f>
        <v>114017</v>
      </c>
    </row>
    <row r="78" customFormat="false" ht="15" hidden="false" customHeight="true" outlineLevel="0" collapsed="false">
      <c r="A78" s="19" t="s">
        <v>146</v>
      </c>
      <c r="B78" s="14" t="n">
        <v>11</v>
      </c>
      <c r="C78" s="14" t="s">
        <v>129</v>
      </c>
      <c r="D78" s="20" t="n">
        <f aca="false">Assumptions!$B$6</f>
        <v>1380</v>
      </c>
      <c r="E78" s="21" t="n">
        <v>46.5</v>
      </c>
      <c r="F78" s="21" t="n">
        <v>40.4</v>
      </c>
      <c r="G78" s="21" t="n">
        <v>27.8</v>
      </c>
      <c r="H78" s="20" t="n">
        <f aca="false">SUM(E78:G78)</f>
        <v>114.7</v>
      </c>
      <c r="I78" s="20" t="n">
        <f aca="false">D78-H78</f>
        <v>1265.3</v>
      </c>
      <c r="J78" s="15" t="n">
        <v>118256</v>
      </c>
      <c r="K78" s="15" t="n">
        <v>2231</v>
      </c>
      <c r="L78" s="20" t="n">
        <f aca="false">J78-K78</f>
        <v>116025</v>
      </c>
    </row>
    <row r="79" customFormat="false" ht="15" hidden="false" customHeight="true" outlineLevel="0" collapsed="false">
      <c r="A79" s="19" t="s">
        <v>147</v>
      </c>
      <c r="B79" s="14" t="n">
        <v>11</v>
      </c>
      <c r="C79" s="14" t="s">
        <v>129</v>
      </c>
      <c r="D79" s="20" t="n">
        <f aca="false">Assumptions!$B$6</f>
        <v>1380</v>
      </c>
      <c r="E79" s="21" t="n">
        <v>51.7</v>
      </c>
      <c r="F79" s="21" t="n">
        <v>42.6</v>
      </c>
      <c r="G79" s="21" t="n">
        <v>37.9</v>
      </c>
      <c r="H79" s="20" t="n">
        <f aca="false">SUM(E79:G79)</f>
        <v>132.2</v>
      </c>
      <c r="I79" s="20" t="n">
        <f aca="false">D79-H79</f>
        <v>1247.8</v>
      </c>
      <c r="J79" s="15" t="n">
        <v>118783</v>
      </c>
      <c r="K79" s="15" t="n">
        <v>3978</v>
      </c>
      <c r="L79" s="20" t="n">
        <f aca="false">J79-K79</f>
        <v>114805</v>
      </c>
    </row>
    <row r="80" customFormat="false" ht="15" hidden="false" customHeight="true" outlineLevel="0" collapsed="false">
      <c r="A80" s="19" t="s">
        <v>148</v>
      </c>
      <c r="B80" s="14" t="n">
        <v>11</v>
      </c>
      <c r="C80" s="14" t="s">
        <v>129</v>
      </c>
      <c r="D80" s="20" t="n">
        <f aca="false">Assumptions!$B$6</f>
        <v>1380</v>
      </c>
      <c r="E80" s="21" t="n">
        <v>42.2</v>
      </c>
      <c r="F80" s="21" t="n">
        <v>45.6</v>
      </c>
      <c r="G80" s="21" t="n">
        <v>29</v>
      </c>
      <c r="H80" s="20" t="n">
        <f aca="false">SUM(E80:G80)</f>
        <v>116.8</v>
      </c>
      <c r="I80" s="20" t="n">
        <f aca="false">D80-H80</f>
        <v>1263.2</v>
      </c>
      <c r="J80" s="15" t="n">
        <v>123356</v>
      </c>
      <c r="K80" s="15" t="n">
        <v>2305</v>
      </c>
      <c r="L80" s="20" t="n">
        <f aca="false">J80-K80</f>
        <v>121051</v>
      </c>
    </row>
    <row r="81" customFormat="false" ht="15" hidden="false" customHeight="true" outlineLevel="0" collapsed="false">
      <c r="A81" s="19" t="s">
        <v>149</v>
      </c>
      <c r="B81" s="14" t="n">
        <v>11</v>
      </c>
      <c r="C81" s="14" t="s">
        <v>129</v>
      </c>
      <c r="D81" s="20" t="n">
        <f aca="false">Assumptions!$B$6</f>
        <v>1380</v>
      </c>
      <c r="E81" s="21" t="n">
        <v>41.3</v>
      </c>
      <c r="F81" s="21" t="n">
        <v>33.8</v>
      </c>
      <c r="G81" s="21" t="n">
        <v>12.9</v>
      </c>
      <c r="H81" s="20" t="n">
        <f aca="false">SUM(E81:G81)</f>
        <v>88</v>
      </c>
      <c r="I81" s="20" t="n">
        <f aca="false">D81-H81</f>
        <v>1292</v>
      </c>
      <c r="J81" s="15" t="n">
        <v>119151</v>
      </c>
      <c r="K81" s="15" t="n">
        <v>2256</v>
      </c>
      <c r="L81" s="20" t="n">
        <f aca="false">J81-K81</f>
        <v>116895</v>
      </c>
    </row>
    <row r="82" customFormat="false" ht="15" hidden="false" customHeight="true" outlineLevel="0" collapsed="false">
      <c r="A82" s="19" t="s">
        <v>150</v>
      </c>
      <c r="B82" s="14" t="n">
        <v>12</v>
      </c>
      <c r="C82" s="14" t="s">
        <v>129</v>
      </c>
      <c r="D82" s="20" t="n">
        <f aca="false">Assumptions!$B$6</f>
        <v>1380</v>
      </c>
      <c r="E82" s="21" t="n">
        <v>46.8</v>
      </c>
      <c r="F82" s="21" t="n">
        <v>37.7</v>
      </c>
      <c r="G82" s="21" t="n">
        <v>38.1</v>
      </c>
      <c r="H82" s="20" t="n">
        <f aca="false">SUM(E82:G82)</f>
        <v>122.6</v>
      </c>
      <c r="I82" s="20" t="n">
        <f aca="false">D82-H82</f>
        <v>1257.4</v>
      </c>
      <c r="J82" s="15" t="n">
        <v>120579</v>
      </c>
      <c r="K82" s="15" t="n">
        <v>2064</v>
      </c>
      <c r="L82" s="20" t="n">
        <f aca="false">J82-K82</f>
        <v>118515</v>
      </c>
    </row>
    <row r="83" customFormat="false" ht="15" hidden="false" customHeight="true" outlineLevel="0" collapsed="false">
      <c r="A83" s="19" t="s">
        <v>151</v>
      </c>
      <c r="B83" s="14" t="n">
        <v>12</v>
      </c>
      <c r="C83" s="14" t="s">
        <v>129</v>
      </c>
      <c r="D83" s="20" t="n">
        <f aca="false">Assumptions!$B$6</f>
        <v>1380</v>
      </c>
      <c r="E83" s="21" t="n">
        <v>34.2</v>
      </c>
      <c r="F83" s="21" t="n">
        <v>38.9</v>
      </c>
      <c r="G83" s="21" t="n">
        <v>15.8</v>
      </c>
      <c r="H83" s="20" t="n">
        <f aca="false">SUM(E83:G83)</f>
        <v>88.9</v>
      </c>
      <c r="I83" s="20" t="n">
        <f aca="false">D83-H83</f>
        <v>1291.1</v>
      </c>
      <c r="J83" s="15" t="n">
        <v>126091</v>
      </c>
      <c r="K83" s="15" t="n">
        <v>3265</v>
      </c>
      <c r="L83" s="20" t="n">
        <f aca="false">J83-K83</f>
        <v>122826</v>
      </c>
    </row>
    <row r="84" customFormat="false" ht="15" hidden="false" customHeight="true" outlineLevel="0" collapsed="false">
      <c r="A84" s="19" t="s">
        <v>152</v>
      </c>
      <c r="B84" s="14" t="n">
        <v>12</v>
      </c>
      <c r="C84" s="14" t="s">
        <v>129</v>
      </c>
      <c r="D84" s="20" t="n">
        <f aca="false">Assumptions!$B$6</f>
        <v>1380</v>
      </c>
      <c r="E84" s="21" t="n">
        <v>39.4</v>
      </c>
      <c r="F84" s="21" t="n">
        <v>21.3</v>
      </c>
      <c r="G84" s="21" t="n">
        <v>34.5</v>
      </c>
      <c r="H84" s="20" t="n">
        <f aca="false">SUM(E84:G84)</f>
        <v>95.2</v>
      </c>
      <c r="I84" s="20" t="n">
        <f aca="false">D84-H84</f>
        <v>1284.8</v>
      </c>
      <c r="J84" s="15" t="n">
        <v>120482</v>
      </c>
      <c r="K84" s="15" t="n">
        <v>3155</v>
      </c>
      <c r="L84" s="20" t="n">
        <f aca="false">J84-K84</f>
        <v>117327</v>
      </c>
    </row>
    <row r="85" customFormat="false" ht="15" hidden="false" customHeight="true" outlineLevel="0" collapsed="false">
      <c r="A85" s="19" t="s">
        <v>153</v>
      </c>
      <c r="B85" s="14" t="n">
        <v>12</v>
      </c>
      <c r="C85" s="14" t="s">
        <v>129</v>
      </c>
      <c r="D85" s="20" t="n">
        <f aca="false">Assumptions!$B$6</f>
        <v>1380</v>
      </c>
      <c r="E85" s="21" t="n">
        <v>25.9</v>
      </c>
      <c r="F85" s="21" t="n">
        <v>30.2</v>
      </c>
      <c r="G85" s="21" t="n">
        <v>25</v>
      </c>
      <c r="H85" s="20" t="n">
        <f aca="false">SUM(E85:G85)</f>
        <v>81.1</v>
      </c>
      <c r="I85" s="20" t="n">
        <f aca="false">D85-H85</f>
        <v>1298.9</v>
      </c>
      <c r="J85" s="15" t="n">
        <v>122218</v>
      </c>
      <c r="K85" s="15" t="n">
        <v>2169</v>
      </c>
      <c r="L85" s="20" t="n">
        <f aca="false">J85-K85</f>
        <v>120049</v>
      </c>
    </row>
    <row r="86" customFormat="false" ht="15" hidden="false" customHeight="true" outlineLevel="0" collapsed="false">
      <c r="A86" s="19" t="s">
        <v>154</v>
      </c>
      <c r="B86" s="14" t="n">
        <v>12</v>
      </c>
      <c r="C86" s="14" t="s">
        <v>129</v>
      </c>
      <c r="D86" s="20" t="n">
        <f aca="false">Assumptions!$B$6</f>
        <v>1380</v>
      </c>
      <c r="E86" s="21" t="n">
        <v>52.5</v>
      </c>
      <c r="F86" s="21" t="n">
        <v>26.5</v>
      </c>
      <c r="G86" s="21" t="n">
        <v>24</v>
      </c>
      <c r="H86" s="20" t="n">
        <f aca="false">SUM(E86:G86)</f>
        <v>103</v>
      </c>
      <c r="I86" s="20" t="n">
        <f aca="false">D86-H86</f>
        <v>1277</v>
      </c>
      <c r="J86" s="15" t="n">
        <v>120351</v>
      </c>
      <c r="K86" s="15" t="n">
        <v>2717</v>
      </c>
      <c r="L86" s="20" t="n">
        <f aca="false">J86-K86</f>
        <v>117634</v>
      </c>
    </row>
    <row r="87" customFormat="false" ht="15" hidden="false" customHeight="true" outlineLevel="0" collapsed="false">
      <c r="A87" s="19" t="s">
        <v>155</v>
      </c>
      <c r="B87" s="14" t="n">
        <v>12</v>
      </c>
      <c r="C87" s="14" t="s">
        <v>129</v>
      </c>
      <c r="D87" s="20" t="n">
        <f aca="false">Assumptions!$B$6</f>
        <v>1380</v>
      </c>
      <c r="E87" s="21" t="n">
        <v>53.5</v>
      </c>
      <c r="F87" s="21" t="n">
        <v>26</v>
      </c>
      <c r="G87" s="21" t="n">
        <v>14.3</v>
      </c>
      <c r="H87" s="20" t="n">
        <f aca="false">SUM(E87:G87)</f>
        <v>93.8</v>
      </c>
      <c r="I87" s="20" t="n">
        <f aca="false">D87-H87</f>
        <v>1286.2</v>
      </c>
      <c r="J87" s="15" t="n">
        <v>124189</v>
      </c>
      <c r="K87" s="15" t="n">
        <v>2690</v>
      </c>
      <c r="L87" s="20" t="n">
        <f aca="false">J87-K87</f>
        <v>121499</v>
      </c>
    </row>
    <row r="88" customFormat="false" ht="15" hidden="false" customHeight="true" outlineLevel="0" collapsed="false">
      <c r="A88" s="19" t="s">
        <v>156</v>
      </c>
      <c r="B88" s="14" t="n">
        <v>12</v>
      </c>
      <c r="C88" s="14" t="s">
        <v>129</v>
      </c>
      <c r="D88" s="20" t="n">
        <f aca="false">Assumptions!$B$6</f>
        <v>1380</v>
      </c>
      <c r="E88" s="21" t="n">
        <v>36</v>
      </c>
      <c r="F88" s="21" t="n">
        <v>47.4</v>
      </c>
      <c r="G88" s="21" t="n">
        <v>25.8</v>
      </c>
      <c r="H88" s="20" t="n">
        <f aca="false">SUM(E88:G88)</f>
        <v>109.2</v>
      </c>
      <c r="I88" s="20" t="n">
        <f aca="false">D88-H88</f>
        <v>1270.8</v>
      </c>
      <c r="J88" s="15" t="n">
        <v>122449</v>
      </c>
      <c r="K88" s="15" t="n">
        <v>2490</v>
      </c>
      <c r="L88" s="20" t="n">
        <f aca="false">J88-K88</f>
        <v>119959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15"/>
    <col collapsed="false" customWidth="true" hidden="false" outlineLevel="0" max="5" min="4" style="1" width="13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9" min="8" style="1" width="15"/>
  </cols>
  <sheetData>
    <row r="1" customFormat="false" ht="30" hidden="false" customHeight="true" outlineLevel="0" collapsed="false">
      <c r="A1" s="2" t="s">
        <v>157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158</v>
      </c>
      <c r="B2" s="3"/>
      <c r="C2" s="3"/>
      <c r="D2" s="3"/>
      <c r="E2" s="3"/>
      <c r="F2" s="3"/>
      <c r="G2" s="3"/>
      <c r="H2" s="3"/>
      <c r="I2" s="3"/>
    </row>
    <row r="4" customFormat="false" ht="26.25" hidden="false" customHeight="true" outlineLevel="0" collapsed="false">
      <c r="A4" s="13" t="s">
        <v>58</v>
      </c>
      <c r="B4" s="13" t="s">
        <v>59</v>
      </c>
      <c r="C4" s="13" t="s">
        <v>60</v>
      </c>
      <c r="D4" s="13" t="s">
        <v>159</v>
      </c>
      <c r="E4" s="13" t="s">
        <v>160</v>
      </c>
      <c r="F4" s="13" t="s">
        <v>161</v>
      </c>
      <c r="G4" s="13" t="s">
        <v>162</v>
      </c>
      <c r="H4" s="13" t="s">
        <v>163</v>
      </c>
      <c r="I4" s="13" t="s">
        <v>164</v>
      </c>
    </row>
    <row r="5" customFormat="false" ht="15" hidden="false" customHeight="true" outlineLevel="0" collapsed="false">
      <c r="A5" s="19" t="str">
        <f aca="false">Raw_Data!A5</f>
        <v>2025-01-06</v>
      </c>
      <c r="B5" s="14" t="n">
        <f aca="false">Raw_Data!B5</f>
        <v>1</v>
      </c>
      <c r="C5" s="14" t="str">
        <f aca="false">Raw_Data!C5</f>
        <v>Baseline</v>
      </c>
      <c r="D5" s="22" t="n">
        <f aca="false">IFERROR(Raw_Data!I5/Raw_Data!D5,0)</f>
        <v>0.815652173913044</v>
      </c>
      <c r="E5" s="22" t="n">
        <f aca="false">IFERROR(Raw_Data!J5/(Raw_Data!I5*Assumptions!$B$5),0)</f>
        <v>0.890467306325515</v>
      </c>
      <c r="F5" s="22" t="n">
        <f aca="false">IFERROR(Raw_Data!L5/Raw_Data!J5,0)</f>
        <v>0.951172790853129</v>
      </c>
      <c r="G5" s="22" t="n">
        <f aca="false">D5*E5*F5</f>
        <v>0.690847826086957</v>
      </c>
      <c r="H5" s="23" t="n">
        <f aca="false">MAX(0,(Raw_Data!I5*Assumptions!$B$5-Raw_Data!J5)/Assumptions!$B$5)</f>
        <v>123.29</v>
      </c>
      <c r="I5" s="23" t="n">
        <f aca="false">IFERROR(Raw_Data!K5/Assumptions!$B$5,0)</f>
        <v>48.94</v>
      </c>
    </row>
    <row r="6" customFormat="false" ht="15" hidden="false" customHeight="true" outlineLevel="0" collapsed="false">
      <c r="A6" s="19" t="str">
        <f aca="false">Raw_Data!A6</f>
        <v>2025-01-07</v>
      </c>
      <c r="B6" s="14" t="n">
        <f aca="false">Raw_Data!B6</f>
        <v>1</v>
      </c>
      <c r="C6" s="14" t="str">
        <f aca="false">Raw_Data!C6</f>
        <v>Baseline</v>
      </c>
      <c r="D6" s="22" t="n">
        <f aca="false">IFERROR(Raw_Data!I6/Raw_Data!D6,0)</f>
        <v>0.811449275362319</v>
      </c>
      <c r="E6" s="22" t="n">
        <f aca="false">IFERROR(Raw_Data!J6/(Raw_Data!I6*Assumptions!$B$5),0)</f>
        <v>0.850616181460975</v>
      </c>
      <c r="F6" s="22" t="n">
        <f aca="false">IFERROR(Raw_Data!L6/Raw_Data!J6,0)</f>
        <v>0.947287196069374</v>
      </c>
      <c r="G6" s="22" t="n">
        <f aca="false">D6*E6*F6</f>
        <v>0.653847826086957</v>
      </c>
      <c r="H6" s="23" t="n">
        <f aca="false">MAX(0,(Raw_Data!I6*Assumptions!$B$5-Raw_Data!J6)/Assumptions!$B$5)</f>
        <v>167.28</v>
      </c>
      <c r="I6" s="23" t="n">
        <f aca="false">IFERROR(Raw_Data!K6/Assumptions!$B$5,0)</f>
        <v>50.21</v>
      </c>
    </row>
    <row r="7" customFormat="false" ht="15" hidden="false" customHeight="true" outlineLevel="0" collapsed="false">
      <c r="A7" s="19" t="str">
        <f aca="false">Raw_Data!A7</f>
        <v>2025-01-08</v>
      </c>
      <c r="B7" s="14" t="n">
        <f aca="false">Raw_Data!B7</f>
        <v>1</v>
      </c>
      <c r="C7" s="14" t="str">
        <f aca="false">Raw_Data!C7</f>
        <v>Baseline</v>
      </c>
      <c r="D7" s="22" t="n">
        <f aca="false">IFERROR(Raw_Data!I7/Raw_Data!D7,0)</f>
        <v>0.827971014492754</v>
      </c>
      <c r="E7" s="22" t="n">
        <f aca="false">IFERROR(Raw_Data!J7/(Raw_Data!I7*Assumptions!$B$5),0)</f>
        <v>0.821731139506389</v>
      </c>
      <c r="F7" s="22" t="n">
        <f aca="false">IFERROR(Raw_Data!L7/Raw_Data!J7,0)</f>
        <v>0.958622232162827</v>
      </c>
      <c r="G7" s="22" t="n">
        <f aca="false">D7*E7*F7</f>
        <v>0.652217391304348</v>
      </c>
      <c r="H7" s="23" t="n">
        <f aca="false">MAX(0,(Raw_Data!I7*Assumptions!$B$5-Raw_Data!J7)/Assumptions!$B$5)</f>
        <v>203.69</v>
      </c>
      <c r="I7" s="23" t="n">
        <f aca="false">IFERROR(Raw_Data!K7/Assumptions!$B$5,0)</f>
        <v>38.85</v>
      </c>
    </row>
    <row r="8" customFormat="false" ht="15" hidden="false" customHeight="true" outlineLevel="0" collapsed="false">
      <c r="A8" s="19" t="str">
        <f aca="false">Raw_Data!A8</f>
        <v>2025-01-09</v>
      </c>
      <c r="B8" s="14" t="n">
        <f aca="false">Raw_Data!B8</f>
        <v>1</v>
      </c>
      <c r="C8" s="14" t="str">
        <f aca="false">Raw_Data!C8</f>
        <v>Baseline</v>
      </c>
      <c r="D8" s="22" t="n">
        <f aca="false">IFERROR(Raw_Data!I8/Raw_Data!D8,0)</f>
        <v>0.831594202898551</v>
      </c>
      <c r="E8" s="22" t="n">
        <f aca="false">IFERROR(Raw_Data!J8/(Raw_Data!I8*Assumptions!$B$5),0)</f>
        <v>0.841878703380969</v>
      </c>
      <c r="F8" s="22" t="n">
        <f aca="false">IFERROR(Raw_Data!L8/Raw_Data!J8,0)</f>
        <v>0.957066263688492</v>
      </c>
      <c r="G8" s="22" t="n">
        <f aca="false">D8*E8*F8</f>
        <v>0.67004347826087</v>
      </c>
      <c r="H8" s="23" t="n">
        <f aca="false">MAX(0,(Raw_Data!I8*Assumptions!$B$5-Raw_Data!J8)/Assumptions!$B$5)</f>
        <v>181.46</v>
      </c>
      <c r="I8" s="23" t="n">
        <f aca="false">IFERROR(Raw_Data!K8/Assumptions!$B$5,0)</f>
        <v>41.48</v>
      </c>
    </row>
    <row r="9" customFormat="false" ht="15" hidden="false" customHeight="true" outlineLevel="0" collapsed="false">
      <c r="A9" s="19" t="str">
        <f aca="false">Raw_Data!A9</f>
        <v>2025-01-10</v>
      </c>
      <c r="B9" s="14" t="n">
        <f aca="false">Raw_Data!B9</f>
        <v>1</v>
      </c>
      <c r="C9" s="14" t="str">
        <f aca="false">Raw_Data!C9</f>
        <v>Baseline</v>
      </c>
      <c r="D9" s="22" t="n">
        <f aca="false">IFERROR(Raw_Data!I9/Raw_Data!D9,0)</f>
        <v>0.810652173913044</v>
      </c>
      <c r="E9" s="22" t="n">
        <f aca="false">IFERROR(Raw_Data!J9/(Raw_Data!I9*Assumptions!$B$5),0)</f>
        <v>0.831536604987933</v>
      </c>
      <c r="F9" s="22" t="n">
        <f aca="false">IFERROR(Raw_Data!L9/Raw_Data!J9,0)</f>
        <v>0.952721878224974</v>
      </c>
      <c r="G9" s="22" t="n">
        <f aca="false">D9*E9*F9</f>
        <v>0.642217391304348</v>
      </c>
      <c r="H9" s="23" t="n">
        <f aca="false">MAX(0,(Raw_Data!I9*Assumptions!$B$5-Raw_Data!J9)/Assumptions!$B$5)</f>
        <v>188.46</v>
      </c>
      <c r="I9" s="23" t="n">
        <f aca="false">IFERROR(Raw_Data!K9/Assumptions!$B$5,0)</f>
        <v>43.98</v>
      </c>
    </row>
    <row r="10" customFormat="false" ht="15" hidden="false" customHeight="true" outlineLevel="0" collapsed="false">
      <c r="A10" s="19" t="str">
        <f aca="false">Raw_Data!A10</f>
        <v>2025-01-11</v>
      </c>
      <c r="B10" s="14" t="n">
        <f aca="false">Raw_Data!B10</f>
        <v>1</v>
      </c>
      <c r="C10" s="14" t="str">
        <f aca="false">Raw_Data!C10</f>
        <v>Baseline</v>
      </c>
      <c r="D10" s="22" t="n">
        <f aca="false">IFERROR(Raw_Data!I10/Raw_Data!D10,0)</f>
        <v>0.826304347826087</v>
      </c>
      <c r="E10" s="22" t="n">
        <f aca="false">IFERROR(Raw_Data!J10/(Raw_Data!I10*Assumptions!$B$5),0)</f>
        <v>0.847943523634131</v>
      </c>
      <c r="F10" s="22" t="n">
        <f aca="false">IFERROR(Raw_Data!L10/Raw_Data!J10,0)</f>
        <v>0.951453599611132</v>
      </c>
      <c r="G10" s="22" t="n">
        <f aca="false">D10*E10*F10</f>
        <v>0.666644927536232</v>
      </c>
      <c r="H10" s="23" t="n">
        <f aca="false">MAX(0,(Raw_Data!I10*Assumptions!$B$5-Raw_Data!J10)/Assumptions!$B$5)</f>
        <v>173.39</v>
      </c>
      <c r="I10" s="23" t="n">
        <f aca="false">IFERROR(Raw_Data!K10/Assumptions!$B$5,0)</f>
        <v>46.94</v>
      </c>
    </row>
    <row r="11" customFormat="false" ht="15" hidden="false" customHeight="true" outlineLevel="0" collapsed="false">
      <c r="A11" s="19" t="str">
        <f aca="false">Raw_Data!A11</f>
        <v>2025-01-12</v>
      </c>
      <c r="B11" s="14" t="n">
        <f aca="false">Raw_Data!B11</f>
        <v>1</v>
      </c>
      <c r="C11" s="14" t="str">
        <f aca="false">Raw_Data!C11</f>
        <v>Baseline</v>
      </c>
      <c r="D11" s="22" t="n">
        <f aca="false">IFERROR(Raw_Data!I11/Raw_Data!D11,0)</f>
        <v>0.817028985507246</v>
      </c>
      <c r="E11" s="22" t="n">
        <f aca="false">IFERROR(Raw_Data!J11/(Raw_Data!I11*Assumptions!$B$5),0)</f>
        <v>0.838847006651885</v>
      </c>
      <c r="F11" s="22" t="n">
        <f aca="false">IFERROR(Raw_Data!L11/Raw_Data!J11,0)</f>
        <v>0.945887079720871</v>
      </c>
      <c r="G11" s="22" t="n">
        <f aca="false">D11*E11*F11</f>
        <v>0.648275362318841</v>
      </c>
      <c r="H11" s="23" t="n">
        <f aca="false">MAX(0,(Raw_Data!I11*Assumptions!$B$5-Raw_Data!J11)/Assumptions!$B$5)</f>
        <v>181.7</v>
      </c>
      <c r="I11" s="23" t="n">
        <f aca="false">IFERROR(Raw_Data!K11/Assumptions!$B$5,0)</f>
        <v>51.18</v>
      </c>
    </row>
    <row r="12" customFormat="false" ht="15" hidden="false" customHeight="true" outlineLevel="0" collapsed="false">
      <c r="A12" s="19" t="str">
        <f aca="false">Raw_Data!A12</f>
        <v>2025-01-13</v>
      </c>
      <c r="B12" s="14" t="n">
        <f aca="false">Raw_Data!B12</f>
        <v>2</v>
      </c>
      <c r="C12" s="14" t="str">
        <f aca="false">Raw_Data!C12</f>
        <v>Baseline</v>
      </c>
      <c r="D12" s="22" t="n">
        <f aca="false">IFERROR(Raw_Data!I12/Raw_Data!D12,0)</f>
        <v>0.851014492753623</v>
      </c>
      <c r="E12" s="22" t="n">
        <f aca="false">IFERROR(Raw_Data!J12/(Raw_Data!I12*Assumptions!$B$5),0)</f>
        <v>0.840727179836512</v>
      </c>
      <c r="F12" s="22" t="n">
        <f aca="false">IFERROR(Raw_Data!L12/Raw_Data!J12,0)</f>
        <v>0.951739504734896</v>
      </c>
      <c r="G12" s="22" t="n">
        <f aca="false">D12*E12*F12</f>
        <v>0.680942028985507</v>
      </c>
      <c r="H12" s="23" t="n">
        <f aca="false">MAX(0,(Raw_Data!I12*Assumptions!$B$5-Raw_Data!J12)/Assumptions!$B$5)</f>
        <v>187.05</v>
      </c>
      <c r="I12" s="23" t="n">
        <f aca="false">IFERROR(Raw_Data!K12/Assumptions!$B$5,0)</f>
        <v>47.65</v>
      </c>
    </row>
    <row r="13" customFormat="false" ht="15" hidden="false" customHeight="true" outlineLevel="0" collapsed="false">
      <c r="A13" s="19" t="str">
        <f aca="false">Raw_Data!A13</f>
        <v>2025-01-14</v>
      </c>
      <c r="B13" s="14" t="n">
        <f aca="false">Raw_Data!B13</f>
        <v>2</v>
      </c>
      <c r="C13" s="14" t="str">
        <f aca="false">Raw_Data!C13</f>
        <v>Baseline</v>
      </c>
      <c r="D13" s="22" t="n">
        <f aca="false">IFERROR(Raw_Data!I13/Raw_Data!D13,0)</f>
        <v>0.824855072463768</v>
      </c>
      <c r="E13" s="22" t="n">
        <f aca="false">IFERROR(Raw_Data!J13/(Raw_Data!I13*Assumptions!$B$5),0)</f>
        <v>0.861258016340156</v>
      </c>
      <c r="F13" s="22" t="n">
        <f aca="false">IFERROR(Raw_Data!L13/Raw_Data!J13,0)</f>
        <v>0.960117098646429</v>
      </c>
      <c r="G13" s="22" t="n">
        <f aca="false">D13*E13*F13</f>
        <v>0.682079710144928</v>
      </c>
      <c r="H13" s="23" t="n">
        <f aca="false">MAX(0,(Raw_Data!I13*Assumptions!$B$5-Raw_Data!J13)/Assumptions!$B$5)</f>
        <v>157.93</v>
      </c>
      <c r="I13" s="23" t="n">
        <f aca="false">IFERROR(Raw_Data!K13/Assumptions!$B$5,0)</f>
        <v>39.1</v>
      </c>
    </row>
    <row r="14" customFormat="false" ht="15" hidden="false" customHeight="true" outlineLevel="0" collapsed="false">
      <c r="A14" s="19" t="str">
        <f aca="false">Raw_Data!A14</f>
        <v>2025-01-15</v>
      </c>
      <c r="B14" s="14" t="n">
        <f aca="false">Raw_Data!B14</f>
        <v>2</v>
      </c>
      <c r="C14" s="14" t="str">
        <f aca="false">Raw_Data!C14</f>
        <v>Baseline</v>
      </c>
      <c r="D14" s="22" t="n">
        <f aca="false">IFERROR(Raw_Data!I14/Raw_Data!D14,0)</f>
        <v>0.835217391304348</v>
      </c>
      <c r="E14" s="22" t="n">
        <f aca="false">IFERROR(Raw_Data!J14/(Raw_Data!I14*Assumptions!$B$5),0)</f>
        <v>0.874180114523686</v>
      </c>
      <c r="F14" s="22" t="n">
        <f aca="false">IFERROR(Raw_Data!L14/Raw_Data!J14,0)</f>
        <v>0.961541515313921</v>
      </c>
      <c r="G14" s="22" t="n">
        <f aca="false">D14*E14*F14</f>
        <v>0.702050724637681</v>
      </c>
      <c r="H14" s="23" t="n">
        <f aca="false">MAX(0,(Raw_Data!I14*Assumptions!$B$5-Raw_Data!J14)/Assumptions!$B$5)</f>
        <v>145.02</v>
      </c>
      <c r="I14" s="23" t="n">
        <f aca="false">IFERROR(Raw_Data!K14/Assumptions!$B$5,0)</f>
        <v>38.75</v>
      </c>
    </row>
    <row r="15" customFormat="false" ht="15" hidden="false" customHeight="true" outlineLevel="0" collapsed="false">
      <c r="A15" s="19" t="str">
        <f aca="false">Raw_Data!A15</f>
        <v>2025-01-16</v>
      </c>
      <c r="B15" s="14" t="n">
        <f aca="false">Raw_Data!B15</f>
        <v>2</v>
      </c>
      <c r="C15" s="14" t="str">
        <f aca="false">Raw_Data!C15</f>
        <v>Baseline</v>
      </c>
      <c r="D15" s="22" t="n">
        <f aca="false">IFERROR(Raw_Data!I15/Raw_Data!D15,0)</f>
        <v>0.834565217391304</v>
      </c>
      <c r="E15" s="22" t="n">
        <f aca="false">IFERROR(Raw_Data!J15/(Raw_Data!I15*Assumptions!$B$5),0)</f>
        <v>0.879473821307632</v>
      </c>
      <c r="F15" s="22" t="n">
        <f aca="false">IFERROR(Raw_Data!L15/Raw_Data!J15,0)</f>
        <v>0.947575748600539</v>
      </c>
      <c r="G15" s="22" t="n">
        <f aca="false">D15*E15*F15</f>
        <v>0.6955</v>
      </c>
      <c r="H15" s="23" t="n">
        <f aca="false">MAX(0,(Raw_Data!I15*Assumptions!$B$5-Raw_Data!J15)/Assumptions!$B$5)</f>
        <v>138.81</v>
      </c>
      <c r="I15" s="23" t="n">
        <f aca="false">IFERROR(Raw_Data!K15/Assumptions!$B$5,0)</f>
        <v>53.1</v>
      </c>
    </row>
    <row r="16" customFormat="false" ht="15" hidden="false" customHeight="true" outlineLevel="0" collapsed="false">
      <c r="A16" s="19" t="str">
        <f aca="false">Raw_Data!A16</f>
        <v>2025-01-17</v>
      </c>
      <c r="B16" s="14" t="n">
        <f aca="false">Raw_Data!B16</f>
        <v>2</v>
      </c>
      <c r="C16" s="14" t="str">
        <f aca="false">Raw_Data!C16</f>
        <v>Baseline</v>
      </c>
      <c r="D16" s="22" t="n">
        <f aca="false">IFERROR(Raw_Data!I16/Raw_Data!D16,0)</f>
        <v>0.830072463768116</v>
      </c>
      <c r="E16" s="22" t="n">
        <f aca="false">IFERROR(Raw_Data!J16/(Raw_Data!I16*Assumptions!$B$5),0)</f>
        <v>0.87384548232213</v>
      </c>
      <c r="F16" s="22" t="n">
        <f aca="false">IFERROR(Raw_Data!L16/Raw_Data!J16,0)</f>
        <v>0.94785162688938</v>
      </c>
      <c r="G16" s="22" t="n">
        <f aca="false">D16*E16*F16</f>
        <v>0.687528985507246</v>
      </c>
      <c r="H16" s="23" t="n">
        <f aca="false">MAX(0,(Raw_Data!I16*Assumptions!$B$5-Raw_Data!J16)/Assumptions!$B$5)</f>
        <v>144.51</v>
      </c>
      <c r="I16" s="23" t="n">
        <f aca="false">IFERROR(Raw_Data!K16/Assumptions!$B$5,0)</f>
        <v>52.2</v>
      </c>
    </row>
    <row r="17" customFormat="false" ht="15" hidden="false" customHeight="true" outlineLevel="0" collapsed="false">
      <c r="A17" s="19" t="str">
        <f aca="false">Raw_Data!A17</f>
        <v>2025-01-18</v>
      </c>
      <c r="B17" s="14" t="n">
        <f aca="false">Raw_Data!B17</f>
        <v>2</v>
      </c>
      <c r="C17" s="14" t="str">
        <f aca="false">Raw_Data!C17</f>
        <v>Baseline</v>
      </c>
      <c r="D17" s="22" t="n">
        <f aca="false">IFERROR(Raw_Data!I17/Raw_Data!D17,0)</f>
        <v>0.842536231884058</v>
      </c>
      <c r="E17" s="22" t="n">
        <f aca="false">IFERROR(Raw_Data!J17/(Raw_Data!I17*Assumptions!$B$5),0)</f>
        <v>0.843355981766578</v>
      </c>
      <c r="F17" s="22" t="n">
        <f aca="false">IFERROR(Raw_Data!L17/Raw_Data!J17,0)</f>
        <v>0.948662512620211</v>
      </c>
      <c r="G17" s="22" t="n">
        <f aca="false">D17*E17*F17</f>
        <v>0.674079710144928</v>
      </c>
      <c r="H17" s="23" t="n">
        <f aca="false">MAX(0,(Raw_Data!I17*Assumptions!$B$5-Raw_Data!J17)/Assumptions!$B$5)</f>
        <v>182.13</v>
      </c>
      <c r="I17" s="23" t="n">
        <f aca="false">IFERROR(Raw_Data!K17/Assumptions!$B$5,0)</f>
        <v>50.34</v>
      </c>
    </row>
    <row r="18" customFormat="false" ht="15" hidden="false" customHeight="true" outlineLevel="0" collapsed="false">
      <c r="A18" s="19" t="str">
        <f aca="false">Raw_Data!A18</f>
        <v>2025-01-19</v>
      </c>
      <c r="B18" s="14" t="n">
        <f aca="false">Raw_Data!B18</f>
        <v>2</v>
      </c>
      <c r="C18" s="14" t="str">
        <f aca="false">Raw_Data!C18</f>
        <v>Baseline</v>
      </c>
      <c r="D18" s="22" t="n">
        <f aca="false">IFERROR(Raw_Data!I18/Raw_Data!D18,0)</f>
        <v>0.815217391304348</v>
      </c>
      <c r="E18" s="22" t="n">
        <f aca="false">IFERROR(Raw_Data!J18/(Raw_Data!I18*Assumptions!$B$5),0)</f>
        <v>0.874506666666667</v>
      </c>
      <c r="F18" s="22" t="n">
        <f aca="false">IFERROR(Raw_Data!L18/Raw_Data!J18,0)</f>
        <v>0.955957390579578</v>
      </c>
      <c r="G18" s="22" t="n">
        <f aca="false">D18*E18*F18</f>
        <v>0.681514492753623</v>
      </c>
      <c r="H18" s="23" t="n">
        <f aca="false">MAX(0,(Raw_Data!I18*Assumptions!$B$5-Raw_Data!J18)/Assumptions!$B$5)</f>
        <v>141.18</v>
      </c>
      <c r="I18" s="23" t="n">
        <f aca="false">IFERROR(Raw_Data!K18/Assumptions!$B$5,0)</f>
        <v>43.33</v>
      </c>
    </row>
    <row r="19" customFormat="false" ht="15" hidden="false" customHeight="true" outlineLevel="0" collapsed="false">
      <c r="A19" s="19" t="str">
        <f aca="false">Raw_Data!A19</f>
        <v>2025-01-20</v>
      </c>
      <c r="B19" s="14" t="n">
        <f aca="false">Raw_Data!B19</f>
        <v>3</v>
      </c>
      <c r="C19" s="14" t="str">
        <f aca="false">Raw_Data!C19</f>
        <v>Baseline</v>
      </c>
      <c r="D19" s="22" t="n">
        <f aca="false">IFERROR(Raw_Data!I19/Raw_Data!D19,0)</f>
        <v>0.829057971014493</v>
      </c>
      <c r="E19" s="22" t="n">
        <f aca="false">IFERROR(Raw_Data!J19/(Raw_Data!I19*Assumptions!$B$5),0)</f>
        <v>0.905812428983481</v>
      </c>
      <c r="F19" s="22" t="n">
        <f aca="false">IFERROR(Raw_Data!L19/Raw_Data!J19,0)</f>
        <v>0.968552791554895</v>
      </c>
      <c r="G19" s="22" t="n">
        <f aca="false">D19*E19*F19</f>
        <v>0.727355072463768</v>
      </c>
      <c r="H19" s="23" t="n">
        <f aca="false">MAX(0,(Raw_Data!I19*Assumptions!$B$5-Raw_Data!J19)/Assumptions!$B$5)</f>
        <v>107.76</v>
      </c>
      <c r="I19" s="23" t="n">
        <f aca="false">IFERROR(Raw_Data!K19/Assumptions!$B$5,0)</f>
        <v>32.59</v>
      </c>
    </row>
    <row r="20" customFormat="false" ht="15" hidden="false" customHeight="true" outlineLevel="0" collapsed="false">
      <c r="A20" s="19" t="str">
        <f aca="false">Raw_Data!A20</f>
        <v>2025-01-21</v>
      </c>
      <c r="B20" s="14" t="n">
        <f aca="false">Raw_Data!B20</f>
        <v>3</v>
      </c>
      <c r="C20" s="14" t="str">
        <f aca="false">Raw_Data!C20</f>
        <v>Baseline</v>
      </c>
      <c r="D20" s="22" t="n">
        <f aca="false">IFERROR(Raw_Data!I20/Raw_Data!D20,0)</f>
        <v>0.834782608695652</v>
      </c>
      <c r="E20" s="22" t="n">
        <f aca="false">IFERROR(Raw_Data!J20/(Raw_Data!I20*Assumptions!$B$5),0)</f>
        <v>0.876371527777778</v>
      </c>
      <c r="F20" s="22" t="n">
        <f aca="false">IFERROR(Raw_Data!L20/Raw_Data!J20,0)</f>
        <v>0.965391548960954</v>
      </c>
      <c r="G20" s="22" t="n">
        <f aca="false">D20*E20*F20</f>
        <v>0.706260869565217</v>
      </c>
      <c r="H20" s="23" t="n">
        <f aca="false">MAX(0,(Raw_Data!I20*Assumptions!$B$5-Raw_Data!J20)/Assumptions!$B$5)</f>
        <v>142.42</v>
      </c>
      <c r="I20" s="23" t="n">
        <f aca="false">IFERROR(Raw_Data!K20/Assumptions!$B$5,0)</f>
        <v>34.94</v>
      </c>
    </row>
    <row r="21" customFormat="false" ht="15" hidden="false" customHeight="true" outlineLevel="0" collapsed="false">
      <c r="A21" s="19" t="str">
        <f aca="false">Raw_Data!A21</f>
        <v>2025-01-22</v>
      </c>
      <c r="B21" s="14" t="n">
        <f aca="false">Raw_Data!B21</f>
        <v>3</v>
      </c>
      <c r="C21" s="14" t="str">
        <f aca="false">Raw_Data!C21</f>
        <v>Baseline</v>
      </c>
      <c r="D21" s="22" t="n">
        <f aca="false">IFERROR(Raw_Data!I21/Raw_Data!D21,0)</f>
        <v>0.833260869565218</v>
      </c>
      <c r="E21" s="22" t="n">
        <f aca="false">IFERROR(Raw_Data!J21/(Raw_Data!I21*Assumptions!$B$5),0)</f>
        <v>0.864170797460649</v>
      </c>
      <c r="F21" s="22" t="n">
        <f aca="false">IFERROR(Raw_Data!L21/Raw_Data!J21,0)</f>
        <v>0.95949522496503</v>
      </c>
      <c r="G21" s="22" t="n">
        <f aca="false">D21*E21*F21</f>
        <v>0.690913043478261</v>
      </c>
      <c r="H21" s="23" t="n">
        <f aca="false">MAX(0,(Raw_Data!I21*Assumptions!$B$5-Raw_Data!J21)/Assumptions!$B$5)</f>
        <v>156.19</v>
      </c>
      <c r="I21" s="23" t="n">
        <f aca="false">IFERROR(Raw_Data!K21/Assumptions!$B$5,0)</f>
        <v>40.25</v>
      </c>
    </row>
    <row r="22" customFormat="false" ht="15" hidden="false" customHeight="true" outlineLevel="0" collapsed="false">
      <c r="A22" s="19" t="str">
        <f aca="false">Raw_Data!A22</f>
        <v>2025-01-23</v>
      </c>
      <c r="B22" s="14" t="n">
        <f aca="false">Raw_Data!B22</f>
        <v>3</v>
      </c>
      <c r="C22" s="14" t="str">
        <f aca="false">Raw_Data!C22</f>
        <v>Baseline</v>
      </c>
      <c r="D22" s="22" t="n">
        <f aca="false">IFERROR(Raw_Data!I22/Raw_Data!D22,0)</f>
        <v>0.838260869565217</v>
      </c>
      <c r="E22" s="22" t="n">
        <f aca="false">IFERROR(Raw_Data!J22/(Raw_Data!I22*Assumptions!$B$5),0)</f>
        <v>0.863986860304288</v>
      </c>
      <c r="F22" s="22" t="n">
        <f aca="false">IFERROR(Raw_Data!L22/Raw_Data!J22,0)</f>
        <v>0.952884557661137</v>
      </c>
      <c r="G22" s="22" t="n">
        <f aca="false">D22*E22*F22</f>
        <v>0.690123188405797</v>
      </c>
      <c r="H22" s="23" t="n">
        <f aca="false">MAX(0,(Raw_Data!I22*Assumptions!$B$5-Raw_Data!J22)/Assumptions!$B$5)</f>
        <v>157.34</v>
      </c>
      <c r="I22" s="23" t="n">
        <f aca="false">IFERROR(Raw_Data!K22/Assumptions!$B$5,0)</f>
        <v>47.09</v>
      </c>
    </row>
    <row r="23" customFormat="false" ht="15" hidden="false" customHeight="true" outlineLevel="0" collapsed="false">
      <c r="A23" s="19" t="str">
        <f aca="false">Raw_Data!A23</f>
        <v>2025-01-24</v>
      </c>
      <c r="B23" s="14" t="n">
        <f aca="false">Raw_Data!B23</f>
        <v>3</v>
      </c>
      <c r="C23" s="14" t="str">
        <f aca="false">Raw_Data!C23</f>
        <v>Baseline</v>
      </c>
      <c r="D23" s="22" t="n">
        <f aca="false">IFERROR(Raw_Data!I23/Raw_Data!D23,0)</f>
        <v>0.83804347826087</v>
      </c>
      <c r="E23" s="22" t="n">
        <f aca="false">IFERROR(Raw_Data!J23/(Raw_Data!I23*Assumptions!$B$5),0)</f>
        <v>0.867955036748811</v>
      </c>
      <c r="F23" s="22" t="n">
        <f aca="false">IFERROR(Raw_Data!L23/Raw_Data!J23,0)</f>
        <v>0.957411410753245</v>
      </c>
      <c r="G23" s="22" t="n">
        <f aca="false">D23*E23*F23</f>
        <v>0.696405797101449</v>
      </c>
      <c r="H23" s="23" t="n">
        <f aca="false">MAX(0,(Raw_Data!I23*Assumptions!$B$5-Raw_Data!J23)/Assumptions!$B$5)</f>
        <v>152.71</v>
      </c>
      <c r="I23" s="23" t="n">
        <f aca="false">IFERROR(Raw_Data!K23/Assumptions!$B$5,0)</f>
        <v>42.75</v>
      </c>
    </row>
    <row r="24" customFormat="false" ht="15" hidden="false" customHeight="true" outlineLevel="0" collapsed="false">
      <c r="A24" s="19" t="str">
        <f aca="false">Raw_Data!A24</f>
        <v>2025-01-25</v>
      </c>
      <c r="B24" s="14" t="n">
        <f aca="false">Raw_Data!B24</f>
        <v>3</v>
      </c>
      <c r="C24" s="14" t="str">
        <f aca="false">Raw_Data!C24</f>
        <v>Baseline</v>
      </c>
      <c r="D24" s="22" t="n">
        <f aca="false">IFERROR(Raw_Data!I24/Raw_Data!D24,0)</f>
        <v>0.850579710144928</v>
      </c>
      <c r="E24" s="22" t="n">
        <f aca="false">IFERROR(Raw_Data!J24/(Raw_Data!I24*Assumptions!$B$5),0)</f>
        <v>0.874663486113478</v>
      </c>
      <c r="F24" s="22" t="n">
        <f aca="false">IFERROR(Raw_Data!L24/Raw_Data!J24,0)</f>
        <v>0.956627186659914</v>
      </c>
      <c r="G24" s="22" t="n">
        <f aca="false">D24*E24*F24</f>
        <v>0.711702898550725</v>
      </c>
      <c r="H24" s="23" t="n">
        <f aca="false">MAX(0,(Raw_Data!I24*Assumptions!$B$5-Raw_Data!J24)/Assumptions!$B$5)</f>
        <v>147.12</v>
      </c>
      <c r="I24" s="23" t="n">
        <f aca="false">IFERROR(Raw_Data!K24/Assumptions!$B$5,0)</f>
        <v>44.53</v>
      </c>
    </row>
    <row r="25" customFormat="false" ht="15" hidden="false" customHeight="true" outlineLevel="0" collapsed="false">
      <c r="A25" s="19" t="str">
        <f aca="false">Raw_Data!A25</f>
        <v>2025-01-26</v>
      </c>
      <c r="B25" s="14" t="n">
        <f aca="false">Raw_Data!B25</f>
        <v>3</v>
      </c>
      <c r="C25" s="14" t="str">
        <f aca="false">Raw_Data!C25</f>
        <v>Baseline</v>
      </c>
      <c r="D25" s="22" t="n">
        <f aca="false">IFERROR(Raw_Data!I25/Raw_Data!D25,0)</f>
        <v>0.857391304347826</v>
      </c>
      <c r="E25" s="22" t="n">
        <f aca="false">IFERROR(Raw_Data!J25/(Raw_Data!I25*Assumptions!$B$5),0)</f>
        <v>0.858502366463827</v>
      </c>
      <c r="F25" s="22" t="n">
        <f aca="false">IFERROR(Raw_Data!L25/Raw_Data!J25,0)</f>
        <v>0.956260213825828</v>
      </c>
      <c r="G25" s="22" t="n">
        <f aca="false">D25*E25*F25</f>
        <v>0.703876811594203</v>
      </c>
      <c r="H25" s="23" t="n">
        <f aca="false">MAX(0,(Raw_Data!I25*Assumptions!$B$5-Raw_Data!J25)/Assumptions!$B$5)</f>
        <v>167.42</v>
      </c>
      <c r="I25" s="23" t="n">
        <f aca="false">IFERROR(Raw_Data!K25/Assumptions!$B$5,0)</f>
        <v>44.43</v>
      </c>
    </row>
    <row r="26" customFormat="false" ht="15" hidden="false" customHeight="true" outlineLevel="0" collapsed="false">
      <c r="A26" s="19" t="str">
        <f aca="false">Raw_Data!A26</f>
        <v>2025-01-27</v>
      </c>
      <c r="B26" s="14" t="n">
        <f aca="false">Raw_Data!B26</f>
        <v>4</v>
      </c>
      <c r="C26" s="14" t="str">
        <f aca="false">Raw_Data!C26</f>
        <v>Baseline</v>
      </c>
      <c r="D26" s="22" t="n">
        <f aca="false">IFERROR(Raw_Data!I26/Raw_Data!D26,0)</f>
        <v>0.834782608695652</v>
      </c>
      <c r="E26" s="22" t="n">
        <f aca="false">IFERROR(Raw_Data!J26/(Raw_Data!I26*Assumptions!$B$5),0)</f>
        <v>0.886987847222222</v>
      </c>
      <c r="F26" s="22" t="n">
        <f aca="false">IFERROR(Raw_Data!L26/Raw_Data!J26,0)</f>
        <v>0.958553938599153</v>
      </c>
      <c r="G26" s="22" t="n">
        <f aca="false">D26*E26*F26</f>
        <v>0.709753623188406</v>
      </c>
      <c r="H26" s="23" t="n">
        <f aca="false">MAX(0,(Raw_Data!I26*Assumptions!$B$5-Raw_Data!J26)/Assumptions!$B$5)</f>
        <v>130.19</v>
      </c>
      <c r="I26" s="23" t="n">
        <f aca="false">IFERROR(Raw_Data!K26/Assumptions!$B$5,0)</f>
        <v>42.35</v>
      </c>
    </row>
    <row r="27" customFormat="false" ht="15" hidden="false" customHeight="true" outlineLevel="0" collapsed="false">
      <c r="A27" s="19" t="str">
        <f aca="false">Raw_Data!A27</f>
        <v>2025-01-28</v>
      </c>
      <c r="B27" s="14" t="n">
        <f aca="false">Raw_Data!B27</f>
        <v>4</v>
      </c>
      <c r="C27" s="14" t="str">
        <f aca="false">Raw_Data!C27</f>
        <v>Baseline</v>
      </c>
      <c r="D27" s="22" t="n">
        <f aca="false">IFERROR(Raw_Data!I27/Raw_Data!D27,0)</f>
        <v>0.866666666666667</v>
      </c>
      <c r="E27" s="22" t="n">
        <f aca="false">IFERROR(Raw_Data!J27/(Raw_Data!I27*Assumptions!$B$5),0)</f>
        <v>0.931078595317726</v>
      </c>
      <c r="F27" s="22" t="n">
        <f aca="false">IFERROR(Raw_Data!L27/Raw_Data!J27,0)</f>
        <v>0.959140422245571</v>
      </c>
      <c r="G27" s="22" t="n">
        <f aca="false">D27*E27*F27</f>
        <v>0.773963768115942</v>
      </c>
      <c r="H27" s="23" t="n">
        <f aca="false">MAX(0,(Raw_Data!I27*Assumptions!$B$5-Raw_Data!J27)/Assumptions!$B$5)</f>
        <v>82.43</v>
      </c>
      <c r="I27" s="23" t="n">
        <f aca="false">IFERROR(Raw_Data!K27/Assumptions!$B$5,0)</f>
        <v>45.5</v>
      </c>
    </row>
    <row r="28" customFormat="false" ht="15" hidden="false" customHeight="true" outlineLevel="0" collapsed="false">
      <c r="A28" s="19" t="str">
        <f aca="false">Raw_Data!A28</f>
        <v>2025-01-29</v>
      </c>
      <c r="B28" s="14" t="n">
        <f aca="false">Raw_Data!B28</f>
        <v>4</v>
      </c>
      <c r="C28" s="14" t="str">
        <f aca="false">Raw_Data!C28</f>
        <v>Baseline</v>
      </c>
      <c r="D28" s="22" t="n">
        <f aca="false">IFERROR(Raw_Data!I28/Raw_Data!D28,0)</f>
        <v>0.853695652173913</v>
      </c>
      <c r="E28" s="22" t="n">
        <f aca="false">IFERROR(Raw_Data!J28/(Raw_Data!I28*Assumptions!$B$5),0)</f>
        <v>0.904617604617605</v>
      </c>
      <c r="F28" s="22" t="n">
        <f aca="false">IFERROR(Raw_Data!L28/Raw_Data!J28,0)</f>
        <v>0.954425604984377</v>
      </c>
      <c r="G28" s="22" t="n">
        <f aca="false">D28*E28*F28</f>
        <v>0.737072463768116</v>
      </c>
      <c r="H28" s="23" t="n">
        <f aca="false">MAX(0,(Raw_Data!I28*Assumptions!$B$5-Raw_Data!J28)/Assumptions!$B$5)</f>
        <v>112.37</v>
      </c>
      <c r="I28" s="23" t="n">
        <f aca="false">IFERROR(Raw_Data!K28/Assumptions!$B$5,0)</f>
        <v>48.57</v>
      </c>
    </row>
    <row r="29" customFormat="false" ht="15" hidden="false" customHeight="true" outlineLevel="0" collapsed="false">
      <c r="A29" s="19" t="str">
        <f aca="false">Raw_Data!A29</f>
        <v>2025-01-30</v>
      </c>
      <c r="B29" s="14" t="n">
        <f aca="false">Raw_Data!B29</f>
        <v>4</v>
      </c>
      <c r="C29" s="14" t="str">
        <f aca="false">Raw_Data!C29</f>
        <v>Baseline</v>
      </c>
      <c r="D29" s="22" t="n">
        <f aca="false">IFERROR(Raw_Data!I29/Raw_Data!D29,0)</f>
        <v>0.841449275362319</v>
      </c>
      <c r="E29" s="22" t="n">
        <f aca="false">IFERROR(Raw_Data!J29/(Raw_Data!I29*Assumptions!$B$5),0)</f>
        <v>0.853737512917671</v>
      </c>
      <c r="F29" s="22" t="n">
        <f aca="false">IFERROR(Raw_Data!L29/Raw_Data!J29,0)</f>
        <v>0.955243302130407</v>
      </c>
      <c r="G29" s="22" t="n">
        <f aca="false">D29*E29*F29</f>
        <v>0.68622463768116</v>
      </c>
      <c r="H29" s="23" t="n">
        <f aca="false">MAX(0,(Raw_Data!I29*Assumptions!$B$5-Raw_Data!J29)/Assumptions!$B$5)</f>
        <v>169.84</v>
      </c>
      <c r="I29" s="23" t="n">
        <f aca="false">IFERROR(Raw_Data!K29/Assumptions!$B$5,0)</f>
        <v>44.37</v>
      </c>
    </row>
    <row r="30" customFormat="false" ht="15" hidden="false" customHeight="true" outlineLevel="0" collapsed="false">
      <c r="A30" s="19" t="str">
        <f aca="false">Raw_Data!A30</f>
        <v>2025-01-31</v>
      </c>
      <c r="B30" s="14" t="n">
        <f aca="false">Raw_Data!B30</f>
        <v>4</v>
      </c>
      <c r="C30" s="14" t="str">
        <f aca="false">Raw_Data!C30</f>
        <v>Baseline</v>
      </c>
      <c r="D30" s="22" t="n">
        <f aca="false">IFERROR(Raw_Data!I30/Raw_Data!D30,0)</f>
        <v>0.83963768115942</v>
      </c>
      <c r="E30" s="22" t="n">
        <f aca="false">IFERROR(Raw_Data!J30/(Raw_Data!I30*Assumptions!$B$5),0)</f>
        <v>0.883878484508501</v>
      </c>
      <c r="F30" s="22" t="n">
        <f aca="false">IFERROR(Raw_Data!L30/Raw_Data!J30,0)</f>
        <v>0.96069911634038</v>
      </c>
      <c r="G30" s="22" t="n">
        <f aca="false">D30*E30*F30</f>
        <v>0.712971014492754</v>
      </c>
      <c r="H30" s="23" t="n">
        <f aca="false">MAX(0,(Raw_Data!I30*Assumptions!$B$5-Raw_Data!J30)/Assumptions!$B$5)</f>
        <v>134.55</v>
      </c>
      <c r="I30" s="23" t="n">
        <f aca="false">IFERROR(Raw_Data!K30/Assumptions!$B$5,0)</f>
        <v>40.25</v>
      </c>
    </row>
    <row r="31" customFormat="false" ht="15" hidden="false" customHeight="true" outlineLevel="0" collapsed="false">
      <c r="A31" s="19" t="str">
        <f aca="false">Raw_Data!A31</f>
        <v>2025-02-01</v>
      </c>
      <c r="B31" s="14" t="n">
        <f aca="false">Raw_Data!B31</f>
        <v>4</v>
      </c>
      <c r="C31" s="14" t="str">
        <f aca="false">Raw_Data!C31</f>
        <v>Baseline</v>
      </c>
      <c r="D31" s="22" t="n">
        <f aca="false">IFERROR(Raw_Data!I31/Raw_Data!D31,0)</f>
        <v>0.868623188405797</v>
      </c>
      <c r="E31" s="22" t="n">
        <f aca="false">IFERROR(Raw_Data!J31/(Raw_Data!I31*Assumptions!$B$5),0)</f>
        <v>0.891273880036706</v>
      </c>
      <c r="F31" s="22" t="n">
        <f aca="false">IFERROR(Raw_Data!L31/Raw_Data!J31,0)</f>
        <v>0.96277506856239</v>
      </c>
      <c r="G31" s="22" t="n">
        <f aca="false">D31*E31*F31</f>
        <v>0.74536231884058</v>
      </c>
      <c r="H31" s="23" t="n">
        <f aca="false">MAX(0,(Raw_Data!I31*Assumptions!$B$5-Raw_Data!J31)/Assumptions!$B$5)</f>
        <v>130.33</v>
      </c>
      <c r="I31" s="23" t="n">
        <f aca="false">IFERROR(Raw_Data!K31/Assumptions!$B$5,0)</f>
        <v>39.77</v>
      </c>
    </row>
    <row r="32" customFormat="false" ht="15" hidden="false" customHeight="true" outlineLevel="0" collapsed="false">
      <c r="A32" s="19" t="str">
        <f aca="false">Raw_Data!A32</f>
        <v>2025-02-02</v>
      </c>
      <c r="B32" s="14" t="n">
        <f aca="false">Raw_Data!B32</f>
        <v>4</v>
      </c>
      <c r="C32" s="14" t="str">
        <f aca="false">Raw_Data!C32</f>
        <v>Baseline</v>
      </c>
      <c r="D32" s="22" t="n">
        <f aca="false">IFERROR(Raw_Data!I32/Raw_Data!D32,0)</f>
        <v>0.842826086956522</v>
      </c>
      <c r="E32" s="22" t="n">
        <f aca="false">IFERROR(Raw_Data!J32/(Raw_Data!I32*Assumptions!$B$5),0)</f>
        <v>0.898091307712149</v>
      </c>
      <c r="F32" s="22" t="n">
        <f aca="false">IFERROR(Raw_Data!L32/Raw_Data!J32,0)</f>
        <v>0.964339393243153</v>
      </c>
      <c r="G32" s="22" t="n">
        <f aca="false">D32*E32*F32</f>
        <v>0.729942028985507</v>
      </c>
      <c r="H32" s="23" t="n">
        <f aca="false">MAX(0,(Raw_Data!I32*Assumptions!$B$5-Raw_Data!J32)/Assumptions!$B$5)</f>
        <v>118.53</v>
      </c>
      <c r="I32" s="23" t="n">
        <f aca="false">IFERROR(Raw_Data!K32/Assumptions!$B$5,0)</f>
        <v>37.25</v>
      </c>
    </row>
    <row r="33" customFormat="false" ht="15" hidden="false" customHeight="true" outlineLevel="0" collapsed="false">
      <c r="A33" s="19" t="str">
        <f aca="false">Raw_Data!A33</f>
        <v>2025-02-03</v>
      </c>
      <c r="B33" s="14" t="n">
        <f aca="false">Raw_Data!B33</f>
        <v>5</v>
      </c>
      <c r="C33" s="14" t="str">
        <f aca="false">Raw_Data!C33</f>
        <v>Implementation</v>
      </c>
      <c r="D33" s="22" t="n">
        <f aca="false">IFERROR(Raw_Data!I33/Raw_Data!D33,0)</f>
        <v>0.857971014492754</v>
      </c>
      <c r="E33" s="22" t="n">
        <f aca="false">IFERROR(Raw_Data!J33/(Raw_Data!I33*Assumptions!$B$5),0)</f>
        <v>0.892761824324324</v>
      </c>
      <c r="F33" s="22" t="n">
        <f aca="false">IFERROR(Raw_Data!L33/Raw_Data!J33,0)</f>
        <v>0.959613256009763</v>
      </c>
      <c r="G33" s="22" t="n">
        <f aca="false">D33*E33*F33</f>
        <v>0.735028985507246</v>
      </c>
      <c r="H33" s="23" t="n">
        <f aca="false">MAX(0,(Raw_Data!I33*Assumptions!$B$5-Raw_Data!J33)/Assumptions!$B$5)</f>
        <v>126.97</v>
      </c>
      <c r="I33" s="23" t="n">
        <f aca="false">IFERROR(Raw_Data!K33/Assumptions!$B$5,0)</f>
        <v>42.69</v>
      </c>
    </row>
    <row r="34" customFormat="false" ht="15" hidden="false" customHeight="true" outlineLevel="0" collapsed="false">
      <c r="A34" s="19" t="str">
        <f aca="false">Raw_Data!A34</f>
        <v>2025-02-04</v>
      </c>
      <c r="B34" s="14" t="n">
        <f aca="false">Raw_Data!B34</f>
        <v>5</v>
      </c>
      <c r="C34" s="14" t="str">
        <f aca="false">Raw_Data!C34</f>
        <v>Implementation</v>
      </c>
      <c r="D34" s="22" t="n">
        <f aca="false">IFERROR(Raw_Data!I34/Raw_Data!D34,0)</f>
        <v>0.866449275362319</v>
      </c>
      <c r="E34" s="22" t="n">
        <f aca="false">IFERROR(Raw_Data!J34/(Raw_Data!I34*Assumptions!$B$5),0)</f>
        <v>0.899506565191938</v>
      </c>
      <c r="F34" s="22" t="n">
        <f aca="false">IFERROR(Raw_Data!L34/Raw_Data!J34,0)</f>
        <v>0.959425033006676</v>
      </c>
      <c r="G34" s="22" t="n">
        <f aca="false">D34*E34*F34</f>
        <v>0.747753623188406</v>
      </c>
      <c r="H34" s="23" t="n">
        <f aca="false">MAX(0,(Raw_Data!I34*Assumptions!$B$5-Raw_Data!J34)/Assumptions!$B$5)</f>
        <v>120.16</v>
      </c>
      <c r="I34" s="23" t="n">
        <f aca="false">IFERROR(Raw_Data!K34/Assumptions!$B$5,0)</f>
        <v>43.64</v>
      </c>
    </row>
    <row r="35" customFormat="false" ht="15" hidden="false" customHeight="true" outlineLevel="0" collapsed="false">
      <c r="A35" s="19" t="str">
        <f aca="false">Raw_Data!A35</f>
        <v>2025-02-05</v>
      </c>
      <c r="B35" s="14" t="n">
        <f aca="false">Raw_Data!B35</f>
        <v>5</v>
      </c>
      <c r="C35" s="14" t="str">
        <f aca="false">Raw_Data!C35</f>
        <v>Implementation</v>
      </c>
      <c r="D35" s="22" t="n">
        <f aca="false">IFERROR(Raw_Data!I35/Raw_Data!D35,0)</f>
        <v>0.858623188405797</v>
      </c>
      <c r="E35" s="22" t="n">
        <f aca="false">IFERROR(Raw_Data!J35/(Raw_Data!I35*Assumptions!$B$5),0)</f>
        <v>0.893729428643767</v>
      </c>
      <c r="F35" s="22" t="n">
        <f aca="false">IFERROR(Raw_Data!L35/Raw_Data!J35,0)</f>
        <v>0.959442104666755</v>
      </c>
      <c r="G35" s="22" t="n">
        <f aca="false">D35*E35*F35</f>
        <v>0.736253623188406</v>
      </c>
      <c r="H35" s="23" t="n">
        <f aca="false">MAX(0,(Raw_Data!I35*Assumptions!$B$5-Raw_Data!J35)/Assumptions!$B$5)</f>
        <v>125.92</v>
      </c>
      <c r="I35" s="23" t="n">
        <f aca="false">IFERROR(Raw_Data!K35/Assumptions!$B$5,0)</f>
        <v>42.95</v>
      </c>
    </row>
    <row r="36" customFormat="false" ht="15" hidden="false" customHeight="true" outlineLevel="0" collapsed="false">
      <c r="A36" s="19" t="str">
        <f aca="false">Raw_Data!A36</f>
        <v>2025-02-06</v>
      </c>
      <c r="B36" s="14" t="n">
        <f aca="false">Raw_Data!B36</f>
        <v>5</v>
      </c>
      <c r="C36" s="14" t="str">
        <f aca="false">Raw_Data!C36</f>
        <v>Implementation</v>
      </c>
      <c r="D36" s="22" t="n">
        <f aca="false">IFERROR(Raw_Data!I36/Raw_Data!D36,0)</f>
        <v>0.85231884057971</v>
      </c>
      <c r="E36" s="22" t="n">
        <f aca="false">IFERROR(Raw_Data!J36/(Raw_Data!I36*Assumptions!$B$5),0)</f>
        <v>0.865295017854107</v>
      </c>
      <c r="F36" s="22" t="n">
        <f aca="false">IFERROR(Raw_Data!L36/Raw_Data!J36,0)</f>
        <v>0.957622622229209</v>
      </c>
      <c r="G36" s="22" t="n">
        <f aca="false">D36*E36*F36</f>
        <v>0.706253623188406</v>
      </c>
      <c r="H36" s="23" t="n">
        <f aca="false">MAX(0,(Raw_Data!I36*Assumptions!$B$5-Raw_Data!J36)/Assumptions!$B$5)</f>
        <v>158.44</v>
      </c>
      <c r="I36" s="23" t="n">
        <f aca="false">IFERROR(Raw_Data!K36/Assumptions!$B$5,0)</f>
        <v>43.13</v>
      </c>
    </row>
    <row r="37" customFormat="false" ht="15" hidden="false" customHeight="true" outlineLevel="0" collapsed="false">
      <c r="A37" s="19" t="str">
        <f aca="false">Raw_Data!A37</f>
        <v>2025-02-07</v>
      </c>
      <c r="B37" s="14" t="n">
        <f aca="false">Raw_Data!B37</f>
        <v>5</v>
      </c>
      <c r="C37" s="14" t="str">
        <f aca="false">Raw_Data!C37</f>
        <v>Implementation</v>
      </c>
      <c r="D37" s="22" t="n">
        <f aca="false">IFERROR(Raw_Data!I37/Raw_Data!D37,0)</f>
        <v>0.857391304347826</v>
      </c>
      <c r="E37" s="22" t="n">
        <f aca="false">IFERROR(Raw_Data!J37/(Raw_Data!I37*Assumptions!$B$5),0)</f>
        <v>0.872675794455713</v>
      </c>
      <c r="F37" s="22" t="n">
        <f aca="false">IFERROR(Raw_Data!L37/Raw_Data!J37,0)</f>
        <v>0.956089293496683</v>
      </c>
      <c r="G37" s="22" t="n">
        <f aca="false">D37*E37*F37</f>
        <v>0.715369565217391</v>
      </c>
      <c r="H37" s="23" t="n">
        <f aca="false">MAX(0,(Raw_Data!I37*Assumptions!$B$5-Raw_Data!J37)/Assumptions!$B$5)</f>
        <v>150.65</v>
      </c>
      <c r="I37" s="23" t="n">
        <f aca="false">IFERROR(Raw_Data!K37/Assumptions!$B$5,0)</f>
        <v>45.34</v>
      </c>
    </row>
    <row r="38" customFormat="false" ht="15" hidden="false" customHeight="true" outlineLevel="0" collapsed="false">
      <c r="A38" s="19" t="str">
        <f aca="false">Raw_Data!A38</f>
        <v>2025-02-08</v>
      </c>
      <c r="B38" s="14" t="n">
        <f aca="false">Raw_Data!B38</f>
        <v>5</v>
      </c>
      <c r="C38" s="14" t="str">
        <f aca="false">Raw_Data!C38</f>
        <v>Implementation</v>
      </c>
      <c r="D38" s="22" t="n">
        <f aca="false">IFERROR(Raw_Data!I38/Raw_Data!D38,0)</f>
        <v>0.841376811594203</v>
      </c>
      <c r="E38" s="22" t="n">
        <f aca="false">IFERROR(Raw_Data!J38/(Raw_Data!I38*Assumptions!$B$5),0)</f>
        <v>0.884187408491947</v>
      </c>
      <c r="F38" s="22" t="n">
        <f aca="false">IFERROR(Raw_Data!L38/Raw_Data!J38,0)</f>
        <v>0.964680556773132</v>
      </c>
      <c r="G38" s="22" t="n">
        <f aca="false">D38*E38*F38</f>
        <v>0.717659420289855</v>
      </c>
      <c r="H38" s="23" t="n">
        <f aca="false">MAX(0,(Raw_Data!I38*Assumptions!$B$5-Raw_Data!J38)/Assumptions!$B$5)</f>
        <v>134.47</v>
      </c>
      <c r="I38" s="23" t="n">
        <f aca="false">IFERROR(Raw_Data!K38/Assumptions!$B$5,0)</f>
        <v>36.26</v>
      </c>
    </row>
    <row r="39" customFormat="false" ht="15" hidden="false" customHeight="true" outlineLevel="0" collapsed="false">
      <c r="A39" s="19" t="str">
        <f aca="false">Raw_Data!A39</f>
        <v>2025-02-09</v>
      </c>
      <c r="B39" s="14" t="n">
        <f aca="false">Raw_Data!B39</f>
        <v>5</v>
      </c>
      <c r="C39" s="14" t="str">
        <f aca="false">Raw_Data!C39</f>
        <v>Implementation</v>
      </c>
      <c r="D39" s="22" t="n">
        <f aca="false">IFERROR(Raw_Data!I39/Raw_Data!D39,0)</f>
        <v>0.872173913043478</v>
      </c>
      <c r="E39" s="22" t="n">
        <f aca="false">IFERROR(Raw_Data!J39/(Raw_Data!I39*Assumptions!$B$5),0)</f>
        <v>0.895953805250914</v>
      </c>
      <c r="F39" s="22" t="n">
        <f aca="false">IFERROR(Raw_Data!L39/Raw_Data!J39,0)</f>
        <v>0.95952224190213</v>
      </c>
      <c r="G39" s="22" t="n">
        <f aca="false">D39*E39*F39</f>
        <v>0.749797101449276</v>
      </c>
      <c r="H39" s="23" t="n">
        <f aca="false">MAX(0,(Raw_Data!I39*Assumptions!$B$5-Raw_Data!J39)/Assumptions!$B$5)</f>
        <v>125.23</v>
      </c>
      <c r="I39" s="23" t="n">
        <f aca="false">IFERROR(Raw_Data!K39/Assumptions!$B$5,0)</f>
        <v>43.65</v>
      </c>
    </row>
    <row r="40" customFormat="false" ht="15" hidden="false" customHeight="true" outlineLevel="0" collapsed="false">
      <c r="A40" s="19" t="str">
        <f aca="false">Raw_Data!A40</f>
        <v>2025-02-10</v>
      </c>
      <c r="B40" s="14" t="n">
        <f aca="false">Raw_Data!B40</f>
        <v>6</v>
      </c>
      <c r="C40" s="14" t="str">
        <f aca="false">Raw_Data!C40</f>
        <v>Implementation</v>
      </c>
      <c r="D40" s="22" t="n">
        <f aca="false">IFERROR(Raw_Data!I40/Raw_Data!D40,0)</f>
        <v>0.853985507246377</v>
      </c>
      <c r="E40" s="22" t="n">
        <f aca="false">IFERROR(Raw_Data!J40/(Raw_Data!I40*Assumptions!$B$5),0)</f>
        <v>0.891022486211286</v>
      </c>
      <c r="F40" s="22" t="n">
        <f aca="false">IFERROR(Raw_Data!L40/Raw_Data!J40,0)</f>
        <v>0.950031902635062</v>
      </c>
      <c r="G40" s="22" t="n">
        <f aca="false">D40*E40*F40</f>
        <v>0.722898550724638</v>
      </c>
      <c r="H40" s="23" t="n">
        <f aca="false">MAX(0,(Raw_Data!I40*Assumptions!$B$5-Raw_Data!J40)/Assumptions!$B$5)</f>
        <v>128.43</v>
      </c>
      <c r="I40" s="23" t="n">
        <f aca="false">IFERROR(Raw_Data!K40/Assumptions!$B$5,0)</f>
        <v>52.47</v>
      </c>
    </row>
    <row r="41" customFormat="false" ht="15" hidden="false" customHeight="true" outlineLevel="0" collapsed="false">
      <c r="A41" s="19" t="str">
        <f aca="false">Raw_Data!A41</f>
        <v>2025-02-11</v>
      </c>
      <c r="B41" s="14" t="n">
        <f aca="false">Raw_Data!B41</f>
        <v>6</v>
      </c>
      <c r="C41" s="14" t="str">
        <f aca="false">Raw_Data!C41</f>
        <v>Implementation</v>
      </c>
      <c r="D41" s="22" t="n">
        <f aca="false">IFERROR(Raw_Data!I41/Raw_Data!D41,0)</f>
        <v>0.873478260869565</v>
      </c>
      <c r="E41" s="22" t="n">
        <f aca="false">IFERROR(Raw_Data!J41/(Raw_Data!I41*Assumptions!$B$5),0)</f>
        <v>0.906072672971628</v>
      </c>
      <c r="F41" s="22" t="n">
        <f aca="false">IFERROR(Raw_Data!L41/Raw_Data!J41,0)</f>
        <v>0.964749400282005</v>
      </c>
      <c r="G41" s="22" t="n">
        <f aca="false">D41*E41*F41</f>
        <v>0.763536231884058</v>
      </c>
      <c r="H41" s="23" t="n">
        <f aca="false">MAX(0,(Raw_Data!I41*Assumptions!$B$5-Raw_Data!J41)/Assumptions!$B$5)</f>
        <v>113.22</v>
      </c>
      <c r="I41" s="23" t="n">
        <f aca="false">IFERROR(Raw_Data!K41/Assumptions!$B$5,0)</f>
        <v>38.5</v>
      </c>
    </row>
    <row r="42" customFormat="false" ht="15" hidden="false" customHeight="true" outlineLevel="0" collapsed="false">
      <c r="A42" s="19" t="str">
        <f aca="false">Raw_Data!A42</f>
        <v>2025-02-12</v>
      </c>
      <c r="B42" s="14" t="n">
        <f aca="false">Raw_Data!B42</f>
        <v>6</v>
      </c>
      <c r="C42" s="14" t="str">
        <f aca="false">Raw_Data!C42</f>
        <v>Implementation</v>
      </c>
      <c r="D42" s="22" t="n">
        <f aca="false">IFERROR(Raw_Data!I42/Raw_Data!D42,0)</f>
        <v>0.86</v>
      </c>
      <c r="E42" s="22" t="n">
        <f aca="false">IFERROR(Raw_Data!J42/(Raw_Data!I42*Assumptions!$B$5),0)</f>
        <v>0.879423660262892</v>
      </c>
      <c r="F42" s="22" t="n">
        <f aca="false">IFERROR(Raw_Data!L42/Raw_Data!J42,0)</f>
        <v>0.971208201590495</v>
      </c>
      <c r="G42" s="22" t="n">
        <f aca="false">D42*E42*F42</f>
        <v>0.734528985507246</v>
      </c>
      <c r="H42" s="23" t="n">
        <f aca="false">MAX(0,(Raw_Data!I42*Assumptions!$B$5-Raw_Data!J42)/Assumptions!$B$5)</f>
        <v>143.1</v>
      </c>
      <c r="I42" s="23" t="n">
        <f aca="false">IFERROR(Raw_Data!K42/Assumptions!$B$5,0)</f>
        <v>30.05</v>
      </c>
    </row>
    <row r="43" customFormat="false" ht="15" hidden="false" customHeight="true" outlineLevel="0" collapsed="false">
      <c r="A43" s="19" t="str">
        <f aca="false">Raw_Data!A43</f>
        <v>2025-02-13</v>
      </c>
      <c r="B43" s="14" t="n">
        <f aca="false">Raw_Data!B43</f>
        <v>6</v>
      </c>
      <c r="C43" s="14" t="str">
        <f aca="false">Raw_Data!C43</f>
        <v>Implementation</v>
      </c>
      <c r="D43" s="22" t="n">
        <f aca="false">IFERROR(Raw_Data!I43/Raw_Data!D43,0)</f>
        <v>0.866376811594203</v>
      </c>
      <c r="E43" s="22" t="n">
        <f aca="false">IFERROR(Raw_Data!J43/(Raw_Data!I43*Assumptions!$B$5),0)</f>
        <v>0.871478755436601</v>
      </c>
      <c r="F43" s="22" t="n">
        <f aca="false">IFERROR(Raw_Data!L43/Raw_Data!J43,0)</f>
        <v>0.962771368792829</v>
      </c>
      <c r="G43" s="22" t="n">
        <f aca="false">D43*E43*F43</f>
        <v>0.726920289855073</v>
      </c>
      <c r="H43" s="23" t="n">
        <f aca="false">MAX(0,(Raw_Data!I43*Assumptions!$B$5-Raw_Data!J43)/Assumptions!$B$5)</f>
        <v>153.66</v>
      </c>
      <c r="I43" s="23" t="n">
        <f aca="false">IFERROR(Raw_Data!K43/Assumptions!$B$5,0)</f>
        <v>38.79</v>
      </c>
    </row>
    <row r="44" customFormat="false" ht="15" hidden="false" customHeight="true" outlineLevel="0" collapsed="false">
      <c r="A44" s="19" t="str">
        <f aca="false">Raw_Data!A44</f>
        <v>2025-02-14</v>
      </c>
      <c r="B44" s="14" t="n">
        <f aca="false">Raw_Data!B44</f>
        <v>6</v>
      </c>
      <c r="C44" s="14" t="str">
        <f aca="false">Raw_Data!C44</f>
        <v>Implementation</v>
      </c>
      <c r="D44" s="22" t="n">
        <f aca="false">IFERROR(Raw_Data!I44/Raw_Data!D44,0)</f>
        <v>0.86963768115942</v>
      </c>
      <c r="E44" s="22" t="n">
        <f aca="false">IFERROR(Raw_Data!J44/(Raw_Data!I44*Assumptions!$B$5),0)</f>
        <v>0.89745854512124</v>
      </c>
      <c r="F44" s="22" t="n">
        <f aca="false">IFERROR(Raw_Data!L44/Raw_Data!J44,0)</f>
        <v>0.969351184728515</v>
      </c>
      <c r="G44" s="22" t="n">
        <f aca="false">D44*E44*F44</f>
        <v>0.75654347826087</v>
      </c>
      <c r="H44" s="23" t="n">
        <f aca="false">MAX(0,(Raw_Data!I44*Assumptions!$B$5-Raw_Data!J44)/Assumptions!$B$5)</f>
        <v>123.06</v>
      </c>
      <c r="I44" s="23" t="n">
        <f aca="false">IFERROR(Raw_Data!K44/Assumptions!$B$5,0)</f>
        <v>33.01</v>
      </c>
    </row>
    <row r="45" customFormat="false" ht="15" hidden="false" customHeight="true" outlineLevel="0" collapsed="false">
      <c r="A45" s="19" t="str">
        <f aca="false">Raw_Data!A45</f>
        <v>2025-02-15</v>
      </c>
      <c r="B45" s="14" t="n">
        <f aca="false">Raw_Data!B45</f>
        <v>6</v>
      </c>
      <c r="C45" s="14" t="str">
        <f aca="false">Raw_Data!C45</f>
        <v>Implementation</v>
      </c>
      <c r="D45" s="22" t="n">
        <f aca="false">IFERROR(Raw_Data!I45/Raw_Data!D45,0)</f>
        <v>0.856739130434783</v>
      </c>
      <c r="E45" s="22" t="n">
        <f aca="false">IFERROR(Raw_Data!J45/(Raw_Data!I45*Assumptions!$B$5),0)</f>
        <v>0.917423665736277</v>
      </c>
      <c r="F45" s="22" t="n">
        <f aca="false">IFERROR(Raw_Data!L45/Raw_Data!J45,0)</f>
        <v>0.970525597647211</v>
      </c>
      <c r="G45" s="22" t="n">
        <f aca="false">D45*E45*F45</f>
        <v>0.762826086956522</v>
      </c>
      <c r="H45" s="23" t="n">
        <f aca="false">MAX(0,(Raw_Data!I45*Assumptions!$B$5-Raw_Data!J45)/Assumptions!$B$5)</f>
        <v>97.63</v>
      </c>
      <c r="I45" s="23" t="n">
        <f aca="false">IFERROR(Raw_Data!K45/Assumptions!$B$5,0)</f>
        <v>31.97</v>
      </c>
    </row>
    <row r="46" customFormat="false" ht="15" hidden="false" customHeight="true" outlineLevel="0" collapsed="false">
      <c r="A46" s="19" t="str">
        <f aca="false">Raw_Data!A46</f>
        <v>2025-02-16</v>
      </c>
      <c r="B46" s="14" t="n">
        <f aca="false">Raw_Data!B46</f>
        <v>6</v>
      </c>
      <c r="C46" s="14" t="str">
        <f aca="false">Raw_Data!C46</f>
        <v>Implementation</v>
      </c>
      <c r="D46" s="22" t="n">
        <f aca="false">IFERROR(Raw_Data!I46/Raw_Data!D46,0)</f>
        <v>0.871159420289855</v>
      </c>
      <c r="E46" s="22" t="n">
        <f aca="false">IFERROR(Raw_Data!J46/(Raw_Data!I46*Assumptions!$B$5),0)</f>
        <v>0.906646148727333</v>
      </c>
      <c r="F46" s="22" t="n">
        <f aca="false">IFERROR(Raw_Data!L46/Raw_Data!J46,0)</f>
        <v>0.944374615815114</v>
      </c>
      <c r="G46" s="22" t="n">
        <f aca="false">D46*E46*F46</f>
        <v>0.745898550724638</v>
      </c>
      <c r="H46" s="23" t="n">
        <f aca="false">MAX(0,(Raw_Data!I46*Assumptions!$B$5-Raw_Data!J46)/Assumptions!$B$5)</f>
        <v>112.23</v>
      </c>
      <c r="I46" s="23" t="n">
        <f aca="false">IFERROR(Raw_Data!K46/Assumptions!$B$5,0)</f>
        <v>60.63</v>
      </c>
    </row>
    <row r="47" customFormat="false" ht="15" hidden="false" customHeight="true" outlineLevel="0" collapsed="false">
      <c r="A47" s="19" t="str">
        <f aca="false">Raw_Data!A47</f>
        <v>2025-02-17</v>
      </c>
      <c r="B47" s="14" t="n">
        <f aca="false">Raw_Data!B47</f>
        <v>7</v>
      </c>
      <c r="C47" s="14" t="str">
        <f aca="false">Raw_Data!C47</f>
        <v>Implementation</v>
      </c>
      <c r="D47" s="22" t="n">
        <f aca="false">IFERROR(Raw_Data!I47/Raw_Data!D47,0)</f>
        <v>0.861376811594203</v>
      </c>
      <c r="E47" s="22" t="n">
        <f aca="false">IFERROR(Raw_Data!J47/(Raw_Data!I47*Assumptions!$B$5),0)</f>
        <v>0.916698914780853</v>
      </c>
      <c r="F47" s="22" t="n">
        <f aca="false">IFERROR(Raw_Data!L47/Raw_Data!J47,0)</f>
        <v>0.967935540709199</v>
      </c>
      <c r="G47" s="22" t="n">
        <f aca="false">D47*E47*F47</f>
        <v>0.764304347826087</v>
      </c>
      <c r="H47" s="23" t="n">
        <f aca="false">MAX(0,(Raw_Data!I47*Assumptions!$B$5-Raw_Data!J47)/Assumptions!$B$5)</f>
        <v>99.02</v>
      </c>
      <c r="I47" s="23" t="n">
        <f aca="false">IFERROR(Raw_Data!K47/Assumptions!$B$5,0)</f>
        <v>34.94</v>
      </c>
    </row>
    <row r="48" customFormat="false" ht="15" hidden="false" customHeight="true" outlineLevel="0" collapsed="false">
      <c r="A48" s="19" t="str">
        <f aca="false">Raw_Data!A48</f>
        <v>2025-02-18</v>
      </c>
      <c r="B48" s="14" t="n">
        <f aca="false">Raw_Data!B48</f>
        <v>7</v>
      </c>
      <c r="C48" s="14" t="str">
        <f aca="false">Raw_Data!C48</f>
        <v>Implementation</v>
      </c>
      <c r="D48" s="22" t="n">
        <f aca="false">IFERROR(Raw_Data!I48/Raw_Data!D48,0)</f>
        <v>0.876884057971014</v>
      </c>
      <c r="E48" s="22" t="n">
        <f aca="false">IFERROR(Raw_Data!J48/(Raw_Data!I48*Assumptions!$B$5),0)</f>
        <v>0.893926121808115</v>
      </c>
      <c r="F48" s="22" t="n">
        <f aca="false">IFERROR(Raw_Data!L48/Raw_Data!J48,0)</f>
        <v>0.965953001645497</v>
      </c>
      <c r="G48" s="22" t="n">
        <f aca="false">D48*E48*F48</f>
        <v>0.75718115942029</v>
      </c>
      <c r="H48" s="23" t="n">
        <f aca="false">MAX(0,(Raw_Data!I48*Assumptions!$B$5-Raw_Data!J48)/Assumptions!$B$5)</f>
        <v>128.36</v>
      </c>
      <c r="I48" s="23" t="n">
        <f aca="false">IFERROR(Raw_Data!K48/Assumptions!$B$5,0)</f>
        <v>36.83</v>
      </c>
    </row>
    <row r="49" customFormat="false" ht="15" hidden="false" customHeight="true" outlineLevel="0" collapsed="false">
      <c r="A49" s="19" t="str">
        <f aca="false">Raw_Data!A49</f>
        <v>2025-02-19</v>
      </c>
      <c r="B49" s="14" t="n">
        <f aca="false">Raw_Data!B49</f>
        <v>7</v>
      </c>
      <c r="C49" s="14" t="str">
        <f aca="false">Raw_Data!C49</f>
        <v>Implementation</v>
      </c>
      <c r="D49" s="22" t="n">
        <f aca="false">IFERROR(Raw_Data!I49/Raw_Data!D49,0)</f>
        <v>0.865072463768116</v>
      </c>
      <c r="E49" s="22" t="n">
        <f aca="false">IFERROR(Raw_Data!J49/(Raw_Data!I49*Assumptions!$B$5),0)</f>
        <v>0.871326855419668</v>
      </c>
      <c r="F49" s="22" t="n">
        <f aca="false">IFERROR(Raw_Data!L49/Raw_Data!J49,0)</f>
        <v>0.968726867206953</v>
      </c>
      <c r="G49" s="22" t="n">
        <f aca="false">D49*E49*F49</f>
        <v>0.730188405797101</v>
      </c>
      <c r="H49" s="23" t="n">
        <f aca="false">MAX(0,(Raw_Data!I49*Assumptions!$B$5-Raw_Data!J49)/Assumptions!$B$5)</f>
        <v>153.61</v>
      </c>
      <c r="I49" s="23" t="n">
        <f aca="false">IFERROR(Raw_Data!K49/Assumptions!$B$5,0)</f>
        <v>32.53</v>
      </c>
    </row>
    <row r="50" customFormat="false" ht="15" hidden="false" customHeight="true" outlineLevel="0" collapsed="false">
      <c r="A50" s="19" t="str">
        <f aca="false">Raw_Data!A50</f>
        <v>2025-02-20</v>
      </c>
      <c r="B50" s="14" t="n">
        <f aca="false">Raw_Data!B50</f>
        <v>7</v>
      </c>
      <c r="C50" s="14" t="str">
        <f aca="false">Raw_Data!C50</f>
        <v>Implementation</v>
      </c>
      <c r="D50" s="22" t="n">
        <f aca="false">IFERROR(Raw_Data!I50/Raw_Data!D50,0)</f>
        <v>0.873405797101449</v>
      </c>
      <c r="E50" s="22" t="n">
        <f aca="false">IFERROR(Raw_Data!J50/(Raw_Data!I50*Assumptions!$B$5),0)</f>
        <v>0.88934705052684</v>
      </c>
      <c r="F50" s="22" t="n">
        <f aca="false">IFERROR(Raw_Data!L50/Raw_Data!J50,0)</f>
        <v>0.962963999514894</v>
      </c>
      <c r="G50" s="22" t="n">
        <f aca="false">D50*E50*F50</f>
        <v>0.747992753623188</v>
      </c>
      <c r="H50" s="23" t="n">
        <f aca="false">MAX(0,(Raw_Data!I50*Assumptions!$B$5-Raw_Data!J50)/Assumptions!$B$5)</f>
        <v>133.37</v>
      </c>
      <c r="I50" s="23" t="n">
        <f aca="false">IFERROR(Raw_Data!K50/Assumptions!$B$5,0)</f>
        <v>39.7</v>
      </c>
    </row>
    <row r="51" customFormat="false" ht="15" hidden="false" customHeight="true" outlineLevel="0" collapsed="false">
      <c r="A51" s="19" t="str">
        <f aca="false">Raw_Data!A51</f>
        <v>2025-02-21</v>
      </c>
      <c r="B51" s="14" t="n">
        <f aca="false">Raw_Data!B51</f>
        <v>7</v>
      </c>
      <c r="C51" s="14" t="str">
        <f aca="false">Raw_Data!C51</f>
        <v>Implementation</v>
      </c>
      <c r="D51" s="22" t="n">
        <f aca="false">IFERROR(Raw_Data!I51/Raw_Data!D51,0)</f>
        <v>0.882608695652174</v>
      </c>
      <c r="E51" s="22" t="n">
        <f aca="false">IFERROR(Raw_Data!J51/(Raw_Data!I51*Assumptions!$B$5),0)</f>
        <v>0.890665024630542</v>
      </c>
      <c r="F51" s="22" t="n">
        <f aca="false">IFERROR(Raw_Data!L51/Raw_Data!J51,0)</f>
        <v>0.95564281961229</v>
      </c>
      <c r="G51" s="22" t="n">
        <f aca="false">D51*E51*F51</f>
        <v>0.751239130434783</v>
      </c>
      <c r="H51" s="23" t="n">
        <f aca="false">MAX(0,(Raw_Data!I51*Assumptions!$B$5-Raw_Data!J51)/Assumptions!$B$5)</f>
        <v>133.17</v>
      </c>
      <c r="I51" s="23" t="n">
        <f aca="false">IFERROR(Raw_Data!K51/Assumptions!$B$5,0)</f>
        <v>48.12</v>
      </c>
    </row>
    <row r="52" customFormat="false" ht="15" hidden="false" customHeight="true" outlineLevel="0" collapsed="false">
      <c r="A52" s="19" t="str">
        <f aca="false">Raw_Data!A52</f>
        <v>2025-02-22</v>
      </c>
      <c r="B52" s="14" t="n">
        <f aca="false">Raw_Data!B52</f>
        <v>7</v>
      </c>
      <c r="C52" s="14" t="str">
        <f aca="false">Raw_Data!C52</f>
        <v>Implementation</v>
      </c>
      <c r="D52" s="22" t="n">
        <f aca="false">IFERROR(Raw_Data!I52/Raw_Data!D52,0)</f>
        <v>0.883115942028986</v>
      </c>
      <c r="E52" s="22" t="n">
        <f aca="false">IFERROR(Raw_Data!J52/(Raw_Data!I52*Assumptions!$B$5),0)</f>
        <v>0.890366784278329</v>
      </c>
      <c r="F52" s="22" t="n">
        <f aca="false">IFERROR(Raw_Data!L52/Raw_Data!J52,0)</f>
        <v>0.962104525891862</v>
      </c>
      <c r="G52" s="22" t="n">
        <f aca="false">D52*E52*F52</f>
        <v>0.7565</v>
      </c>
      <c r="H52" s="23" t="n">
        <f aca="false">MAX(0,(Raw_Data!I52*Assumptions!$B$5-Raw_Data!J52)/Assumptions!$B$5)</f>
        <v>133.61</v>
      </c>
      <c r="I52" s="23" t="n">
        <f aca="false">IFERROR(Raw_Data!K52/Assumptions!$B$5,0)</f>
        <v>41.12</v>
      </c>
    </row>
    <row r="53" customFormat="false" ht="15" hidden="false" customHeight="true" outlineLevel="0" collapsed="false">
      <c r="A53" s="19" t="str">
        <f aca="false">Raw_Data!A53</f>
        <v>2025-02-23</v>
      </c>
      <c r="B53" s="14" t="n">
        <f aca="false">Raw_Data!B53</f>
        <v>7</v>
      </c>
      <c r="C53" s="14" t="str">
        <f aca="false">Raw_Data!C53</f>
        <v>Implementation</v>
      </c>
      <c r="D53" s="22" t="n">
        <f aca="false">IFERROR(Raw_Data!I53/Raw_Data!D53,0)</f>
        <v>0.882753623188406</v>
      </c>
      <c r="E53" s="22" t="n">
        <f aca="false">IFERROR(Raw_Data!J53/(Raw_Data!I53*Assumptions!$B$5),0)</f>
        <v>0.920998194056805</v>
      </c>
      <c r="F53" s="22" t="n">
        <f aca="false">IFERROR(Raw_Data!L53/Raw_Data!J53,0)</f>
        <v>0.97236086848016</v>
      </c>
      <c r="G53" s="22" t="n">
        <f aca="false">D53*E53*F53</f>
        <v>0.79054347826087</v>
      </c>
      <c r="H53" s="23" t="n">
        <f aca="false">MAX(0,(Raw_Data!I53*Assumptions!$B$5-Raw_Data!J53)/Assumptions!$B$5)</f>
        <v>96.24</v>
      </c>
      <c r="I53" s="23" t="n">
        <f aca="false">IFERROR(Raw_Data!K53/Assumptions!$B$5,0)</f>
        <v>31.01</v>
      </c>
    </row>
    <row r="54" customFormat="false" ht="15" hidden="false" customHeight="true" outlineLevel="0" collapsed="false">
      <c r="A54" s="19" t="str">
        <f aca="false">Raw_Data!A54</f>
        <v>2025-02-24</v>
      </c>
      <c r="B54" s="14" t="n">
        <f aca="false">Raw_Data!B54</f>
        <v>8</v>
      </c>
      <c r="C54" s="14" t="str">
        <f aca="false">Raw_Data!C54</f>
        <v>Implementation</v>
      </c>
      <c r="D54" s="22" t="n">
        <f aca="false">IFERROR(Raw_Data!I54/Raw_Data!D54,0)</f>
        <v>0.896086956521739</v>
      </c>
      <c r="E54" s="22" t="n">
        <f aca="false">IFERROR(Raw_Data!J54/(Raw_Data!I54*Assumptions!$B$5),0)</f>
        <v>0.946126475820799</v>
      </c>
      <c r="F54" s="22" t="n">
        <f aca="false">IFERROR(Raw_Data!L54/Raw_Data!J54,0)</f>
        <v>0.967067813125011</v>
      </c>
      <c r="G54" s="22" t="n">
        <f aca="false">D54*E54*F54</f>
        <v>0.819891304347826</v>
      </c>
      <c r="H54" s="23" t="n">
        <f aca="false">MAX(0,(Raw_Data!I54*Assumptions!$B$5-Raw_Data!J54)/Assumptions!$B$5)</f>
        <v>66.6199999999999</v>
      </c>
      <c r="I54" s="23" t="n">
        <f aca="false">IFERROR(Raw_Data!K54/Assumptions!$B$5,0)</f>
        <v>38.53</v>
      </c>
    </row>
    <row r="55" customFormat="false" ht="15" hidden="false" customHeight="true" outlineLevel="0" collapsed="false">
      <c r="A55" s="19" t="str">
        <f aca="false">Raw_Data!A55</f>
        <v>2025-02-25</v>
      </c>
      <c r="B55" s="14" t="n">
        <f aca="false">Raw_Data!B55</f>
        <v>8</v>
      </c>
      <c r="C55" s="14" t="str">
        <f aca="false">Raw_Data!C55</f>
        <v>Implementation</v>
      </c>
      <c r="D55" s="22" t="n">
        <f aca="false">IFERROR(Raw_Data!I55/Raw_Data!D55,0)</f>
        <v>0.881884057971015</v>
      </c>
      <c r="E55" s="22" t="n">
        <f aca="false">IFERROR(Raw_Data!J55/(Raw_Data!I55*Assumptions!$B$5),0)</f>
        <v>0.931577649958915</v>
      </c>
      <c r="F55" s="22" t="n">
        <f aca="false">IFERROR(Raw_Data!L55/Raw_Data!J55,0)</f>
        <v>0.976687571114816</v>
      </c>
      <c r="G55" s="22" t="n">
        <f aca="false">D55*E55*F55</f>
        <v>0.802391304347826</v>
      </c>
      <c r="H55" s="23" t="n">
        <f aca="false">MAX(0,(Raw_Data!I55*Assumptions!$B$5-Raw_Data!J55)/Assumptions!$B$5)</f>
        <v>83.27</v>
      </c>
      <c r="I55" s="23" t="n">
        <f aca="false">IFERROR(Raw_Data!K55/Assumptions!$B$5,0)</f>
        <v>26.43</v>
      </c>
    </row>
    <row r="56" customFormat="false" ht="15" hidden="false" customHeight="true" outlineLevel="0" collapsed="false">
      <c r="A56" s="19" t="str">
        <f aca="false">Raw_Data!A56</f>
        <v>2025-02-26</v>
      </c>
      <c r="B56" s="14" t="n">
        <f aca="false">Raw_Data!B56</f>
        <v>8</v>
      </c>
      <c r="C56" s="14" t="str">
        <f aca="false">Raw_Data!C56</f>
        <v>Implementation</v>
      </c>
      <c r="D56" s="22" t="n">
        <f aca="false">IFERROR(Raw_Data!I56/Raw_Data!D56,0)</f>
        <v>0.887463768115942</v>
      </c>
      <c r="E56" s="22" t="n">
        <f aca="false">IFERROR(Raw_Data!J56/(Raw_Data!I56*Assumptions!$B$5),0)</f>
        <v>0.919800767534907</v>
      </c>
      <c r="F56" s="22" t="n">
        <f aca="false">IFERROR(Raw_Data!L56/Raw_Data!J56,0)</f>
        <v>0.965219089553299</v>
      </c>
      <c r="G56" s="22" t="n">
        <f aca="false">D56*E56*F56</f>
        <v>0.787898550724638</v>
      </c>
      <c r="H56" s="23" t="n">
        <f aca="false">MAX(0,(Raw_Data!I56*Assumptions!$B$5-Raw_Data!J56)/Assumptions!$B$5)</f>
        <v>98.22</v>
      </c>
      <c r="I56" s="23" t="n">
        <f aca="false">IFERROR(Raw_Data!K56/Assumptions!$B$5,0)</f>
        <v>39.18</v>
      </c>
    </row>
    <row r="57" customFormat="false" ht="15" hidden="false" customHeight="true" outlineLevel="0" collapsed="false">
      <c r="A57" s="19" t="str">
        <f aca="false">Raw_Data!A57</f>
        <v>2025-02-27</v>
      </c>
      <c r="B57" s="14" t="n">
        <f aca="false">Raw_Data!B57</f>
        <v>8</v>
      </c>
      <c r="C57" s="14" t="str">
        <f aca="false">Raw_Data!C57</f>
        <v>Implementation</v>
      </c>
      <c r="D57" s="22" t="n">
        <f aca="false">IFERROR(Raw_Data!I57/Raw_Data!D57,0)</f>
        <v>0.911884057971015</v>
      </c>
      <c r="E57" s="22" t="n">
        <f aca="false">IFERROR(Raw_Data!J57/(Raw_Data!I57*Assumptions!$B$5),0)</f>
        <v>0.890408455181182</v>
      </c>
      <c r="F57" s="22" t="n">
        <f aca="false">IFERROR(Raw_Data!L57/Raw_Data!J57,0)</f>
        <v>0.970352256602022</v>
      </c>
      <c r="G57" s="22" t="n">
        <f aca="false">D57*E57*F57</f>
        <v>0.787876811594203</v>
      </c>
      <c r="H57" s="23" t="n">
        <f aca="false">MAX(0,(Raw_Data!I57*Assumptions!$B$5-Raw_Data!J57)/Assumptions!$B$5)</f>
        <v>137.91</v>
      </c>
      <c r="I57" s="23" t="n">
        <f aca="false">IFERROR(Raw_Data!K57/Assumptions!$B$5,0)</f>
        <v>33.22</v>
      </c>
    </row>
    <row r="58" customFormat="false" ht="15" hidden="false" customHeight="true" outlineLevel="0" collapsed="false">
      <c r="A58" s="19" t="str">
        <f aca="false">Raw_Data!A58</f>
        <v>2025-02-28</v>
      </c>
      <c r="B58" s="14" t="n">
        <f aca="false">Raw_Data!B58</f>
        <v>8</v>
      </c>
      <c r="C58" s="14" t="str">
        <f aca="false">Raw_Data!C58</f>
        <v>Implementation</v>
      </c>
      <c r="D58" s="22" t="n">
        <f aca="false">IFERROR(Raw_Data!I58/Raw_Data!D58,0)</f>
        <v>0.895652173913044</v>
      </c>
      <c r="E58" s="22" t="n">
        <f aca="false">IFERROR(Raw_Data!J58/(Raw_Data!I58*Assumptions!$B$5),0)</f>
        <v>0.902119741100324</v>
      </c>
      <c r="F58" s="22" t="n">
        <f aca="false">IFERROR(Raw_Data!L58/Raw_Data!J58,0)</f>
        <v>0.968440027981561</v>
      </c>
      <c r="G58" s="22" t="n">
        <f aca="false">D58*E58*F58</f>
        <v>0.782485507246377</v>
      </c>
      <c r="H58" s="23" t="n">
        <f aca="false">MAX(0,(Raw_Data!I58*Assumptions!$B$5-Raw_Data!J58)/Assumptions!$B$5)</f>
        <v>120.98</v>
      </c>
      <c r="I58" s="23" t="n">
        <f aca="false">IFERROR(Raw_Data!K58/Assumptions!$B$5,0)</f>
        <v>35.19</v>
      </c>
    </row>
    <row r="59" customFormat="false" ht="15" hidden="false" customHeight="true" outlineLevel="0" collapsed="false">
      <c r="A59" s="19" t="str">
        <f aca="false">Raw_Data!A59</f>
        <v>2025-03-01</v>
      </c>
      <c r="B59" s="14" t="n">
        <f aca="false">Raw_Data!B59</f>
        <v>8</v>
      </c>
      <c r="C59" s="14" t="str">
        <f aca="false">Raw_Data!C59</f>
        <v>Implementation</v>
      </c>
      <c r="D59" s="22" t="n">
        <f aca="false">IFERROR(Raw_Data!I59/Raw_Data!D59,0)</f>
        <v>0.876884057971014</v>
      </c>
      <c r="E59" s="22" t="n">
        <f aca="false">IFERROR(Raw_Data!J59/(Raw_Data!I59*Assumptions!$B$5),0)</f>
        <v>0.911147839021569</v>
      </c>
      <c r="F59" s="22" t="n">
        <f aca="false">IFERROR(Raw_Data!L59/Raw_Data!J59,0)</f>
        <v>0.973997351666092</v>
      </c>
      <c r="G59" s="22" t="n">
        <f aca="false">D59*E59*F59</f>
        <v>0.778195652173913</v>
      </c>
      <c r="H59" s="23" t="n">
        <f aca="false">MAX(0,(Raw_Data!I59*Assumptions!$B$5-Raw_Data!J59)/Assumptions!$B$5)</f>
        <v>107.52</v>
      </c>
      <c r="I59" s="23" t="n">
        <f aca="false">IFERROR(Raw_Data!K59/Assumptions!$B$5,0)</f>
        <v>28.67</v>
      </c>
    </row>
    <row r="60" customFormat="false" ht="15" hidden="false" customHeight="true" outlineLevel="0" collapsed="false">
      <c r="A60" s="19" t="str">
        <f aca="false">Raw_Data!A60</f>
        <v>2025-03-02</v>
      </c>
      <c r="B60" s="14" t="n">
        <f aca="false">Raw_Data!B60</f>
        <v>8</v>
      </c>
      <c r="C60" s="14" t="str">
        <f aca="false">Raw_Data!C60</f>
        <v>Implementation</v>
      </c>
      <c r="D60" s="22" t="n">
        <f aca="false">IFERROR(Raw_Data!I60/Raw_Data!D60,0)</f>
        <v>0.884927536231884</v>
      </c>
      <c r="E60" s="22" t="n">
        <f aca="false">IFERROR(Raw_Data!J60/(Raw_Data!I60*Assumptions!$B$5),0)</f>
        <v>0.912274811660662</v>
      </c>
      <c r="F60" s="22" t="n">
        <f aca="false">IFERROR(Raw_Data!L60/Raw_Data!J60,0)</f>
        <v>0.971016183902268</v>
      </c>
      <c r="G60" s="22" t="n">
        <f aca="false">D60*E60*F60</f>
        <v>0.783898550724638</v>
      </c>
      <c r="H60" s="23" t="n">
        <f aca="false">MAX(0,(Raw_Data!I60*Assumptions!$B$5-Raw_Data!J60)/Assumptions!$B$5)</f>
        <v>107.13</v>
      </c>
      <c r="I60" s="23" t="n">
        <f aca="false">IFERROR(Raw_Data!K60/Assumptions!$B$5,0)</f>
        <v>32.29</v>
      </c>
    </row>
    <row r="61" customFormat="false" ht="15" hidden="false" customHeight="true" outlineLevel="0" collapsed="false">
      <c r="A61" s="19" t="str">
        <f aca="false">Raw_Data!A61</f>
        <v>2025-03-03</v>
      </c>
      <c r="B61" s="14" t="n">
        <f aca="false">Raw_Data!B61</f>
        <v>9</v>
      </c>
      <c r="C61" s="14" t="str">
        <f aca="false">Raw_Data!C61</f>
        <v>Improved</v>
      </c>
      <c r="D61" s="22" t="n">
        <f aca="false">IFERROR(Raw_Data!I61/Raw_Data!D61,0)</f>
        <v>0.883333333333333</v>
      </c>
      <c r="E61" s="22" t="n">
        <f aca="false">IFERROR(Raw_Data!J61/(Raw_Data!I61*Assumptions!$B$5),0)</f>
        <v>0.893470057424118</v>
      </c>
      <c r="F61" s="22" t="n">
        <f aca="false">IFERROR(Raw_Data!L61/Raw_Data!J61,0)</f>
        <v>0.961152836182676</v>
      </c>
      <c r="G61" s="22" t="n">
        <f aca="false">D61*E61*F61</f>
        <v>0.758572463768116</v>
      </c>
      <c r="H61" s="23" t="n">
        <f aca="false">MAX(0,(Raw_Data!I61*Assumptions!$B$5-Raw_Data!J61)/Assumptions!$B$5)</f>
        <v>129.86</v>
      </c>
      <c r="I61" s="23" t="n">
        <f aca="false">IFERROR(Raw_Data!K61/Assumptions!$B$5,0)</f>
        <v>42.31</v>
      </c>
    </row>
    <row r="62" customFormat="false" ht="15" hidden="false" customHeight="true" outlineLevel="0" collapsed="false">
      <c r="A62" s="19" t="str">
        <f aca="false">Raw_Data!A62</f>
        <v>2025-03-04</v>
      </c>
      <c r="B62" s="14" t="n">
        <f aca="false">Raw_Data!B62</f>
        <v>9</v>
      </c>
      <c r="C62" s="14" t="str">
        <f aca="false">Raw_Data!C62</f>
        <v>Improved</v>
      </c>
      <c r="D62" s="22" t="n">
        <f aca="false">IFERROR(Raw_Data!I62/Raw_Data!D62,0)</f>
        <v>0.911086956521739</v>
      </c>
      <c r="E62" s="22" t="n">
        <f aca="false">IFERROR(Raw_Data!J62/(Raw_Data!I62*Assumptions!$B$5),0)</f>
        <v>0.923828839576871</v>
      </c>
      <c r="F62" s="22" t="n">
        <f aca="false">IFERROR(Raw_Data!L62/Raw_Data!J62,0)</f>
        <v>0.974929618692587</v>
      </c>
      <c r="G62" s="22" t="n">
        <f aca="false">D62*E62*F62</f>
        <v>0.820586956521739</v>
      </c>
      <c r="H62" s="23" t="n">
        <f aca="false">MAX(0,(Raw_Data!I62*Assumptions!$B$5-Raw_Data!J62)/Assumptions!$B$5)</f>
        <v>95.77</v>
      </c>
      <c r="I62" s="23" t="n">
        <f aca="false">IFERROR(Raw_Data!K62/Assumptions!$B$5,0)</f>
        <v>29.12</v>
      </c>
    </row>
    <row r="63" customFormat="false" ht="15" hidden="false" customHeight="true" outlineLevel="0" collapsed="false">
      <c r="A63" s="19" t="str">
        <f aca="false">Raw_Data!A63</f>
        <v>2025-03-05</v>
      </c>
      <c r="B63" s="14" t="n">
        <f aca="false">Raw_Data!B63</f>
        <v>9</v>
      </c>
      <c r="C63" s="14" t="str">
        <f aca="false">Raw_Data!C63</f>
        <v>Improved</v>
      </c>
      <c r="D63" s="22" t="n">
        <f aca="false">IFERROR(Raw_Data!I63/Raw_Data!D63,0)</f>
        <v>0.903840579710145</v>
      </c>
      <c r="E63" s="22" t="n">
        <f aca="false">IFERROR(Raw_Data!J63/(Raw_Data!I63*Assumptions!$B$5),0)</f>
        <v>0.935236109997595</v>
      </c>
      <c r="F63" s="22" t="n">
        <f aca="false">IFERROR(Raw_Data!L63/Raw_Data!J63,0)</f>
        <v>0.970030518122278</v>
      </c>
      <c r="G63" s="22" t="n">
        <f aca="false">D63*E63*F63</f>
        <v>0.819971014492754</v>
      </c>
      <c r="H63" s="23" t="n">
        <f aca="false">MAX(0,(Raw_Data!I63*Assumptions!$B$5-Raw_Data!J63)/Assumptions!$B$5)</f>
        <v>80.78</v>
      </c>
      <c r="I63" s="23" t="n">
        <f aca="false">IFERROR(Raw_Data!K63/Assumptions!$B$5,0)</f>
        <v>34.96</v>
      </c>
    </row>
    <row r="64" customFormat="false" ht="15" hidden="false" customHeight="true" outlineLevel="0" collapsed="false">
      <c r="A64" s="19" t="str">
        <f aca="false">Raw_Data!A64</f>
        <v>2025-03-06</v>
      </c>
      <c r="B64" s="14" t="n">
        <f aca="false">Raw_Data!B64</f>
        <v>9</v>
      </c>
      <c r="C64" s="14" t="str">
        <f aca="false">Raw_Data!C64</f>
        <v>Improved</v>
      </c>
      <c r="D64" s="22" t="n">
        <f aca="false">IFERROR(Raw_Data!I64/Raw_Data!D64,0)</f>
        <v>0.895507246376812</v>
      </c>
      <c r="E64" s="22" t="n">
        <f aca="false">IFERROR(Raw_Data!J64/(Raw_Data!I64*Assumptions!$B$5),0)</f>
        <v>0.934431137724551</v>
      </c>
      <c r="F64" s="22" t="n">
        <f aca="false">IFERROR(Raw_Data!L64/Raw_Data!J64,0)</f>
        <v>0.968669085618781</v>
      </c>
      <c r="G64" s="22" t="n">
        <f aca="false">D64*E64*F64</f>
        <v>0.810572463768116</v>
      </c>
      <c r="H64" s="23" t="n">
        <f aca="false">MAX(0,(Raw_Data!I64*Assumptions!$B$5-Raw_Data!J64)/Assumptions!$B$5)</f>
        <v>81.03</v>
      </c>
      <c r="I64" s="23" t="n">
        <f aca="false">IFERROR(Raw_Data!K64/Assumptions!$B$5,0)</f>
        <v>36.18</v>
      </c>
    </row>
    <row r="65" customFormat="false" ht="15" hidden="false" customHeight="true" outlineLevel="0" collapsed="false">
      <c r="A65" s="19" t="str">
        <f aca="false">Raw_Data!A65</f>
        <v>2025-03-07</v>
      </c>
      <c r="B65" s="14" t="n">
        <f aca="false">Raw_Data!B65</f>
        <v>9</v>
      </c>
      <c r="C65" s="14" t="str">
        <f aca="false">Raw_Data!C65</f>
        <v>Improved</v>
      </c>
      <c r="D65" s="22" t="n">
        <f aca="false">IFERROR(Raw_Data!I65/Raw_Data!D65,0)</f>
        <v>0.902971014492754</v>
      </c>
      <c r="E65" s="22" t="n">
        <f aca="false">IFERROR(Raw_Data!J65/(Raw_Data!I65*Assumptions!$B$5),0)</f>
        <v>0.930326619051441</v>
      </c>
      <c r="F65" s="22" t="n">
        <f aca="false">IFERROR(Raw_Data!L65/Raw_Data!J65,0)</f>
        <v>0.971922227589538</v>
      </c>
      <c r="G65" s="22" t="n">
        <f aca="false">D65*E65*F65</f>
        <v>0.816471014492754</v>
      </c>
      <c r="H65" s="23" t="n">
        <f aca="false">MAX(0,(Raw_Data!I65*Assumptions!$B$5-Raw_Data!J65)/Assumptions!$B$5)</f>
        <v>86.8199999999999</v>
      </c>
      <c r="I65" s="23" t="n">
        <f aca="false">IFERROR(Raw_Data!K65/Assumptions!$B$5,0)</f>
        <v>32.55</v>
      </c>
    </row>
    <row r="66" customFormat="false" ht="15" hidden="false" customHeight="true" outlineLevel="0" collapsed="false">
      <c r="A66" s="19" t="str">
        <f aca="false">Raw_Data!A66</f>
        <v>2025-03-08</v>
      </c>
      <c r="B66" s="14" t="n">
        <f aca="false">Raw_Data!B66</f>
        <v>9</v>
      </c>
      <c r="C66" s="14" t="str">
        <f aca="false">Raw_Data!C66</f>
        <v>Improved</v>
      </c>
      <c r="D66" s="22" t="n">
        <f aca="false">IFERROR(Raw_Data!I66/Raw_Data!D66,0)</f>
        <v>0.890869565217391</v>
      </c>
      <c r="E66" s="22" t="n">
        <f aca="false">IFERROR(Raw_Data!J66/(Raw_Data!I66*Assumptions!$B$5),0)</f>
        <v>0.929071091589393</v>
      </c>
      <c r="F66" s="22" t="n">
        <f aca="false">IFERROR(Raw_Data!L66/Raw_Data!J66,0)</f>
        <v>0.972833129049203</v>
      </c>
      <c r="G66" s="22" t="n">
        <f aca="false">D66*E66*F66</f>
        <v>0.805195652173913</v>
      </c>
      <c r="H66" s="23" t="n">
        <f aca="false">MAX(0,(Raw_Data!I66*Assumptions!$B$5-Raw_Data!J66)/Assumptions!$B$5)</f>
        <v>87.2000000000001</v>
      </c>
      <c r="I66" s="23" t="n">
        <f aca="false">IFERROR(Raw_Data!K66/Assumptions!$B$5,0)</f>
        <v>31.03</v>
      </c>
    </row>
    <row r="67" customFormat="false" ht="15" hidden="false" customHeight="true" outlineLevel="0" collapsed="false">
      <c r="A67" s="19" t="str">
        <f aca="false">Raw_Data!A67</f>
        <v>2025-03-09</v>
      </c>
      <c r="B67" s="14" t="n">
        <f aca="false">Raw_Data!B67</f>
        <v>9</v>
      </c>
      <c r="C67" s="14" t="str">
        <f aca="false">Raw_Data!C67</f>
        <v>Improved</v>
      </c>
      <c r="D67" s="22" t="n">
        <f aca="false">IFERROR(Raw_Data!I67/Raw_Data!D67,0)</f>
        <v>0.887536231884058</v>
      </c>
      <c r="E67" s="22" t="n">
        <f aca="false">IFERROR(Raw_Data!J67/(Raw_Data!I67*Assumptions!$B$5),0)</f>
        <v>0.934495427824951</v>
      </c>
      <c r="F67" s="22" t="n">
        <f aca="false">IFERROR(Raw_Data!L67/Raw_Data!J67,0)</f>
        <v>0.965288274199044</v>
      </c>
      <c r="G67" s="22" t="n">
        <f aca="false">D67*E67*F67</f>
        <v>0.800608695652174</v>
      </c>
      <c r="H67" s="23" t="n">
        <f aca="false">MAX(0,(Raw_Data!I67*Assumptions!$B$5-Raw_Data!J67)/Assumptions!$B$5)</f>
        <v>80.23</v>
      </c>
      <c r="I67" s="23" t="n">
        <f aca="false">IFERROR(Raw_Data!K67/Assumptions!$B$5,0)</f>
        <v>39.73</v>
      </c>
    </row>
    <row r="68" customFormat="false" ht="15" hidden="false" customHeight="true" outlineLevel="0" collapsed="false">
      <c r="A68" s="19" t="str">
        <f aca="false">Raw_Data!A68</f>
        <v>2025-03-10</v>
      </c>
      <c r="B68" s="14" t="n">
        <f aca="false">Raw_Data!B68</f>
        <v>10</v>
      </c>
      <c r="C68" s="14" t="str">
        <f aca="false">Raw_Data!C68</f>
        <v>Improved</v>
      </c>
      <c r="D68" s="22" t="n">
        <f aca="false">IFERROR(Raw_Data!I68/Raw_Data!D68,0)</f>
        <v>0.902898550724638</v>
      </c>
      <c r="E68" s="22" t="n">
        <f aca="false">IFERROR(Raw_Data!J68/(Raw_Data!I68*Assumptions!$B$5),0)</f>
        <v>0.931942215088283</v>
      </c>
      <c r="F68" s="22" t="n">
        <f aca="false">IFERROR(Raw_Data!L68/Raw_Data!J68,0)</f>
        <v>0.975198070961075</v>
      </c>
      <c r="G68" s="22" t="n">
        <f aca="false">D68*E68*F68</f>
        <v>0.820579710144928</v>
      </c>
      <c r="H68" s="23" t="n">
        <f aca="false">MAX(0,(Raw_Data!I68*Assumptions!$B$5-Raw_Data!J68)/Assumptions!$B$5)</f>
        <v>84.8</v>
      </c>
      <c r="I68" s="23" t="n">
        <f aca="false">IFERROR(Raw_Data!K68/Assumptions!$B$5,0)</f>
        <v>28.8</v>
      </c>
    </row>
    <row r="69" customFormat="false" ht="15" hidden="false" customHeight="true" outlineLevel="0" collapsed="false">
      <c r="A69" s="19" t="str">
        <f aca="false">Raw_Data!A69</f>
        <v>2025-03-11</v>
      </c>
      <c r="B69" s="14" t="n">
        <f aca="false">Raw_Data!B69</f>
        <v>10</v>
      </c>
      <c r="C69" s="14" t="str">
        <f aca="false">Raw_Data!C69</f>
        <v>Improved</v>
      </c>
      <c r="D69" s="22" t="n">
        <f aca="false">IFERROR(Raw_Data!I69/Raw_Data!D69,0)</f>
        <v>0.90536231884058</v>
      </c>
      <c r="E69" s="22" t="n">
        <f aca="false">IFERROR(Raw_Data!J69/(Raw_Data!I69*Assumptions!$B$5),0)</f>
        <v>0.967264286857692</v>
      </c>
      <c r="F69" s="22" t="n">
        <f aca="false">IFERROR(Raw_Data!L69/Raw_Data!J69,0)</f>
        <v>0.979577989242863</v>
      </c>
      <c r="G69" s="22" t="n">
        <f aca="false">D69*E69*F69</f>
        <v>0.857840579710145</v>
      </c>
      <c r="H69" s="23" t="n">
        <f aca="false">MAX(0,(Raw_Data!I69*Assumptions!$B$5-Raw_Data!J69)/Assumptions!$B$5)</f>
        <v>40.9000000000002</v>
      </c>
      <c r="I69" s="23" t="n">
        <f aca="false">IFERROR(Raw_Data!K69/Assumptions!$B$5,0)</f>
        <v>24.68</v>
      </c>
    </row>
    <row r="70" customFormat="false" ht="15" hidden="false" customHeight="true" outlineLevel="0" collapsed="false">
      <c r="A70" s="19" t="str">
        <f aca="false">Raw_Data!A70</f>
        <v>2025-03-12</v>
      </c>
      <c r="B70" s="14" t="n">
        <f aca="false">Raw_Data!B70</f>
        <v>10</v>
      </c>
      <c r="C70" s="14" t="str">
        <f aca="false">Raw_Data!C70</f>
        <v>Improved</v>
      </c>
      <c r="D70" s="22" t="n">
        <f aca="false">IFERROR(Raw_Data!I70/Raw_Data!D70,0)</f>
        <v>0.905289855072464</v>
      </c>
      <c r="E70" s="22" t="n">
        <f aca="false">IFERROR(Raw_Data!J70/(Raw_Data!I70*Assumptions!$B$5),0)</f>
        <v>0.937941247098375</v>
      </c>
      <c r="F70" s="22" t="n">
        <f aca="false">IFERROR(Raw_Data!L70/Raw_Data!J70,0)</f>
        <v>0.971402237640493</v>
      </c>
      <c r="G70" s="22" t="n">
        <f aca="false">D70*E70*F70</f>
        <v>0.824826086956522</v>
      </c>
      <c r="H70" s="23" t="n">
        <f aca="false">MAX(0,(Raw_Data!I70*Assumptions!$B$5-Raw_Data!J70)/Assumptions!$B$5)</f>
        <v>77.53</v>
      </c>
      <c r="I70" s="23" t="n">
        <f aca="false">IFERROR(Raw_Data!K70/Assumptions!$B$5,0)</f>
        <v>33.51</v>
      </c>
    </row>
    <row r="71" customFormat="false" ht="15" hidden="false" customHeight="true" outlineLevel="0" collapsed="false">
      <c r="A71" s="19" t="str">
        <f aca="false">Raw_Data!A71</f>
        <v>2025-03-13</v>
      </c>
      <c r="B71" s="14" t="n">
        <f aca="false">Raw_Data!B71</f>
        <v>10</v>
      </c>
      <c r="C71" s="14" t="str">
        <f aca="false">Raw_Data!C71</f>
        <v>Improved</v>
      </c>
      <c r="D71" s="22" t="n">
        <f aca="false">IFERROR(Raw_Data!I71/Raw_Data!D71,0)</f>
        <v>0.91036231884058</v>
      </c>
      <c r="E71" s="22" t="n">
        <f aca="false">IFERROR(Raw_Data!J71/(Raw_Data!I71*Assumptions!$B$5),0)</f>
        <v>0.911939823290615</v>
      </c>
      <c r="F71" s="22" t="n">
        <f aca="false">IFERROR(Raw_Data!L71/Raw_Data!J71,0)</f>
        <v>0.969668403641537</v>
      </c>
      <c r="G71" s="22" t="n">
        <f aca="false">D71*E71*F71</f>
        <v>0.805014492753623</v>
      </c>
      <c r="H71" s="23" t="n">
        <f aca="false">MAX(0,(Raw_Data!I71*Assumptions!$B$5-Raw_Data!J71)/Assumptions!$B$5)</f>
        <v>110.63</v>
      </c>
      <c r="I71" s="23" t="n">
        <f aca="false">IFERROR(Raw_Data!K71/Assumptions!$B$5,0)</f>
        <v>34.75</v>
      </c>
    </row>
    <row r="72" customFormat="false" ht="15" hidden="false" customHeight="true" outlineLevel="0" collapsed="false">
      <c r="A72" s="19" t="str">
        <f aca="false">Raw_Data!A72</f>
        <v>2025-03-14</v>
      </c>
      <c r="B72" s="14" t="n">
        <f aca="false">Raw_Data!B72</f>
        <v>10</v>
      </c>
      <c r="C72" s="14" t="str">
        <f aca="false">Raw_Data!C72</f>
        <v>Improved</v>
      </c>
      <c r="D72" s="22" t="n">
        <f aca="false">IFERROR(Raw_Data!I72/Raw_Data!D72,0)</f>
        <v>0.913115942028986</v>
      </c>
      <c r="E72" s="22" t="n">
        <f aca="false">IFERROR(Raw_Data!J72/(Raw_Data!I72*Assumptions!$B$5),0)</f>
        <v>0.933759225458297</v>
      </c>
      <c r="F72" s="22" t="n">
        <f aca="false">IFERROR(Raw_Data!L72/Raw_Data!J72,0)</f>
        <v>0.977367566694713</v>
      </c>
      <c r="G72" s="22" t="n">
        <f aca="false">D72*E72*F72</f>
        <v>0.833333333333334</v>
      </c>
      <c r="H72" s="23" t="n">
        <f aca="false">MAX(0,(Raw_Data!I72*Assumptions!$B$5-Raw_Data!J72)/Assumptions!$B$5)</f>
        <v>83.4699999999999</v>
      </c>
      <c r="I72" s="23" t="n">
        <f aca="false">IFERROR(Raw_Data!K72/Assumptions!$B$5,0)</f>
        <v>26.63</v>
      </c>
    </row>
    <row r="73" customFormat="false" ht="15" hidden="false" customHeight="true" outlineLevel="0" collapsed="false">
      <c r="A73" s="19" t="str">
        <f aca="false">Raw_Data!A73</f>
        <v>2025-03-15</v>
      </c>
      <c r="B73" s="14" t="n">
        <f aca="false">Raw_Data!B73</f>
        <v>10</v>
      </c>
      <c r="C73" s="14" t="str">
        <f aca="false">Raw_Data!C73</f>
        <v>Improved</v>
      </c>
      <c r="D73" s="22" t="n">
        <f aca="false">IFERROR(Raw_Data!I73/Raw_Data!D73,0)</f>
        <v>0.909927536231884</v>
      </c>
      <c r="E73" s="22" t="n">
        <f aca="false">IFERROR(Raw_Data!J73/(Raw_Data!I73*Assumptions!$B$5),0)</f>
        <v>0.91535398582464</v>
      </c>
      <c r="F73" s="22" t="n">
        <f aca="false">IFERROR(Raw_Data!L73/Raw_Data!J73,0)</f>
        <v>0.976901192785864</v>
      </c>
      <c r="G73" s="22" t="n">
        <f aca="false">D73*E73*F73</f>
        <v>0.813666666666667</v>
      </c>
      <c r="H73" s="23" t="n">
        <f aca="false">MAX(0,(Raw_Data!I73*Assumptions!$B$5-Raw_Data!J73)/Assumptions!$B$5)</f>
        <v>106.29</v>
      </c>
      <c r="I73" s="23" t="n">
        <f aca="false">IFERROR(Raw_Data!K73/Assumptions!$B$5,0)</f>
        <v>26.55</v>
      </c>
    </row>
    <row r="74" customFormat="false" ht="15" hidden="false" customHeight="true" outlineLevel="0" collapsed="false">
      <c r="A74" s="19" t="str">
        <f aca="false">Raw_Data!A74</f>
        <v>2025-03-16</v>
      </c>
      <c r="B74" s="14" t="n">
        <f aca="false">Raw_Data!B74</f>
        <v>10</v>
      </c>
      <c r="C74" s="14" t="str">
        <f aca="false">Raw_Data!C74</f>
        <v>Improved</v>
      </c>
      <c r="D74" s="22" t="n">
        <f aca="false">IFERROR(Raw_Data!I74/Raw_Data!D74,0)</f>
        <v>0.918985507246377</v>
      </c>
      <c r="E74" s="22" t="n">
        <f aca="false">IFERROR(Raw_Data!J74/(Raw_Data!I74*Assumptions!$B$5),0)</f>
        <v>0.91108657940388</v>
      </c>
      <c r="F74" s="22" t="n">
        <f aca="false">IFERROR(Raw_Data!L74/Raw_Data!J74,0)</f>
        <v>0.975611022640726</v>
      </c>
      <c r="G74" s="22" t="n">
        <f aca="false">D74*E74*F74</f>
        <v>0.816855072463768</v>
      </c>
      <c r="H74" s="23" t="n">
        <f aca="false">MAX(0,(Raw_Data!I74*Assumptions!$B$5-Raw_Data!J74)/Assumptions!$B$5)</f>
        <v>112.76</v>
      </c>
      <c r="I74" s="23" t="n">
        <f aca="false">IFERROR(Raw_Data!K74/Assumptions!$B$5,0)</f>
        <v>28.18</v>
      </c>
    </row>
    <row r="75" customFormat="false" ht="15" hidden="false" customHeight="true" outlineLevel="0" collapsed="false">
      <c r="A75" s="19" t="str">
        <f aca="false">Raw_Data!A75</f>
        <v>2025-03-17</v>
      </c>
      <c r="B75" s="14" t="n">
        <f aca="false">Raw_Data!B75</f>
        <v>11</v>
      </c>
      <c r="C75" s="14" t="str">
        <f aca="false">Raw_Data!C75</f>
        <v>Improved</v>
      </c>
      <c r="D75" s="22" t="n">
        <f aca="false">IFERROR(Raw_Data!I75/Raw_Data!D75,0)</f>
        <v>0.899130434782609</v>
      </c>
      <c r="E75" s="22" t="n">
        <f aca="false">IFERROR(Raw_Data!J75/(Raw_Data!I75*Assumptions!$B$5),0)</f>
        <v>0.929480980012895</v>
      </c>
      <c r="F75" s="22" t="n">
        <f aca="false">IFERROR(Raw_Data!L75/Raw_Data!J75,0)</f>
        <v>0.977369288129715</v>
      </c>
      <c r="G75" s="22" t="n">
        <f aca="false">D75*E75*F75</f>
        <v>0.816811594202899</v>
      </c>
      <c r="H75" s="23" t="n">
        <f aca="false">MAX(0,(Raw_Data!I75*Assumptions!$B$5-Raw_Data!J75)/Assumptions!$B$5)</f>
        <v>87.5</v>
      </c>
      <c r="I75" s="23" t="n">
        <f aca="false">IFERROR(Raw_Data!K75/Assumptions!$B$5,0)</f>
        <v>26.1</v>
      </c>
    </row>
    <row r="76" customFormat="false" ht="15" hidden="false" customHeight="true" outlineLevel="0" collapsed="false">
      <c r="A76" s="19" t="str">
        <f aca="false">Raw_Data!A76</f>
        <v>2025-03-18</v>
      </c>
      <c r="B76" s="14" t="n">
        <f aca="false">Raw_Data!B76</f>
        <v>11</v>
      </c>
      <c r="C76" s="14" t="str">
        <f aca="false">Raw_Data!C76</f>
        <v>Improved</v>
      </c>
      <c r="D76" s="22" t="n">
        <f aca="false">IFERROR(Raw_Data!I76/Raw_Data!D76,0)</f>
        <v>0.925</v>
      </c>
      <c r="E76" s="22" t="n">
        <f aca="false">IFERROR(Raw_Data!J76/(Raw_Data!I76*Assumptions!$B$5),0)</f>
        <v>0.939161770466118</v>
      </c>
      <c r="F76" s="22" t="n">
        <f aca="false">IFERROR(Raw_Data!L76/Raw_Data!J76,0)</f>
        <v>0.981407026792566</v>
      </c>
      <c r="G76" s="22" t="n">
        <f aca="false">D76*E76*F76</f>
        <v>0.852572463768116</v>
      </c>
      <c r="H76" s="23" t="n">
        <f aca="false">MAX(0,(Raw_Data!I76*Assumptions!$B$5-Raw_Data!J76)/Assumptions!$B$5)</f>
        <v>77.66</v>
      </c>
      <c r="I76" s="23" t="n">
        <f aca="false">IFERROR(Raw_Data!K76/Assumptions!$B$5,0)</f>
        <v>22.29</v>
      </c>
    </row>
    <row r="77" customFormat="false" ht="15" hidden="false" customHeight="true" outlineLevel="0" collapsed="false">
      <c r="A77" s="19" t="str">
        <f aca="false">Raw_Data!A77</f>
        <v>2025-03-19</v>
      </c>
      <c r="B77" s="14" t="n">
        <f aca="false">Raw_Data!B77</f>
        <v>11</v>
      </c>
      <c r="C77" s="14" t="str">
        <f aca="false">Raw_Data!C77</f>
        <v>Improved</v>
      </c>
      <c r="D77" s="22" t="n">
        <f aca="false">IFERROR(Raw_Data!I77/Raw_Data!D77,0)</f>
        <v>0.901811594202899</v>
      </c>
      <c r="E77" s="22" t="n">
        <f aca="false">IFERROR(Raw_Data!J77/(Raw_Data!I77*Assumptions!$B$5),0)</f>
        <v>0.940795500200884</v>
      </c>
      <c r="F77" s="22" t="n">
        <f aca="false">IFERROR(Raw_Data!L77/Raw_Data!J77,0)</f>
        <v>0.973821765941819</v>
      </c>
      <c r="G77" s="22" t="n">
        <f aca="false">D77*E77*F77</f>
        <v>0.826210144927536</v>
      </c>
      <c r="H77" s="23" t="n">
        <f aca="false">MAX(0,(Raw_Data!I77*Assumptions!$B$5-Raw_Data!J77)/Assumptions!$B$5)</f>
        <v>73.68</v>
      </c>
      <c r="I77" s="23" t="n">
        <f aca="false">IFERROR(Raw_Data!K77/Assumptions!$B$5,0)</f>
        <v>30.65</v>
      </c>
    </row>
    <row r="78" customFormat="false" ht="15" hidden="false" customHeight="true" outlineLevel="0" collapsed="false">
      <c r="A78" s="19" t="str">
        <f aca="false">Raw_Data!A78</f>
        <v>2025-03-20</v>
      </c>
      <c r="B78" s="14" t="n">
        <f aca="false">Raw_Data!B78</f>
        <v>11</v>
      </c>
      <c r="C78" s="14" t="str">
        <f aca="false">Raw_Data!C78</f>
        <v>Improved</v>
      </c>
      <c r="D78" s="22" t="n">
        <f aca="false">IFERROR(Raw_Data!I78/Raw_Data!D78,0)</f>
        <v>0.916884057971015</v>
      </c>
      <c r="E78" s="22" t="n">
        <f aca="false">IFERROR(Raw_Data!J78/(Raw_Data!I78*Assumptions!$B$5),0)</f>
        <v>0.934608393266419</v>
      </c>
      <c r="F78" s="22" t="n">
        <f aca="false">IFERROR(Raw_Data!L78/Raw_Data!J78,0)</f>
        <v>0.981134149641456</v>
      </c>
      <c r="G78" s="22" t="n">
        <f aca="false">D78*E78*F78</f>
        <v>0.840760869565217</v>
      </c>
      <c r="H78" s="23" t="n">
        <f aca="false">MAX(0,(Raw_Data!I78*Assumptions!$B$5-Raw_Data!J78)/Assumptions!$B$5)</f>
        <v>82.74</v>
      </c>
      <c r="I78" s="23" t="n">
        <f aca="false">IFERROR(Raw_Data!K78/Assumptions!$B$5,0)</f>
        <v>22.31</v>
      </c>
    </row>
    <row r="79" customFormat="false" ht="15" hidden="false" customHeight="true" outlineLevel="0" collapsed="false">
      <c r="A79" s="19" t="str">
        <f aca="false">Raw_Data!A79</f>
        <v>2025-03-21</v>
      </c>
      <c r="B79" s="14" t="n">
        <f aca="false">Raw_Data!B79</f>
        <v>11</v>
      </c>
      <c r="C79" s="14" t="str">
        <f aca="false">Raw_Data!C79</f>
        <v>Improved</v>
      </c>
      <c r="D79" s="22" t="n">
        <f aca="false">IFERROR(Raw_Data!I79/Raw_Data!D79,0)</f>
        <v>0.904202898550725</v>
      </c>
      <c r="E79" s="22" t="n">
        <f aca="false">IFERROR(Raw_Data!J79/(Raw_Data!I79*Assumptions!$B$5),0)</f>
        <v>0.951939413367527</v>
      </c>
      <c r="F79" s="22" t="n">
        <f aca="false">IFERROR(Raw_Data!L79/Raw_Data!J79,0)</f>
        <v>0.966510359226489</v>
      </c>
      <c r="G79" s="22" t="n">
        <f aca="false">D79*E79*F79</f>
        <v>0.831920289855072</v>
      </c>
      <c r="H79" s="23" t="n">
        <f aca="false">MAX(0,(Raw_Data!I79*Assumptions!$B$5-Raw_Data!J79)/Assumptions!$B$5)</f>
        <v>59.97</v>
      </c>
      <c r="I79" s="23" t="n">
        <f aca="false">IFERROR(Raw_Data!K79/Assumptions!$B$5,0)</f>
        <v>39.78</v>
      </c>
    </row>
    <row r="80" customFormat="false" ht="15" hidden="false" customHeight="true" outlineLevel="0" collapsed="false">
      <c r="A80" s="19" t="str">
        <f aca="false">Raw_Data!A80</f>
        <v>2025-03-22</v>
      </c>
      <c r="B80" s="14" t="n">
        <f aca="false">Raw_Data!B80</f>
        <v>11</v>
      </c>
      <c r="C80" s="14" t="str">
        <f aca="false">Raw_Data!C80</f>
        <v>Improved</v>
      </c>
      <c r="D80" s="22" t="n">
        <f aca="false">IFERROR(Raw_Data!I80/Raw_Data!D80,0)</f>
        <v>0.91536231884058</v>
      </c>
      <c r="E80" s="22" t="n">
        <f aca="false">IFERROR(Raw_Data!J80/(Raw_Data!I80*Assumptions!$B$5),0)</f>
        <v>0.976535782140595</v>
      </c>
      <c r="F80" s="22" t="n">
        <f aca="false">IFERROR(Raw_Data!L80/Raw_Data!J80,0)</f>
        <v>0.981314244949577</v>
      </c>
      <c r="G80" s="22" t="n">
        <f aca="false">D80*E80*F80</f>
        <v>0.87718115942029</v>
      </c>
      <c r="H80" s="23" t="n">
        <f aca="false">MAX(0,(Raw_Data!I80*Assumptions!$B$5-Raw_Data!J80)/Assumptions!$B$5)</f>
        <v>29.64</v>
      </c>
      <c r="I80" s="23" t="n">
        <f aca="false">IFERROR(Raw_Data!K80/Assumptions!$B$5,0)</f>
        <v>23.05</v>
      </c>
    </row>
    <row r="81" customFormat="false" ht="15" hidden="false" customHeight="true" outlineLevel="0" collapsed="false">
      <c r="A81" s="19" t="str">
        <f aca="false">Raw_Data!A81</f>
        <v>2025-03-23</v>
      </c>
      <c r="B81" s="14" t="n">
        <f aca="false">Raw_Data!B81</f>
        <v>11</v>
      </c>
      <c r="C81" s="14" t="str">
        <f aca="false">Raw_Data!C81</f>
        <v>Improved</v>
      </c>
      <c r="D81" s="22" t="n">
        <f aca="false">IFERROR(Raw_Data!I81/Raw_Data!D81,0)</f>
        <v>0.936231884057971</v>
      </c>
      <c r="E81" s="22" t="n">
        <f aca="false">IFERROR(Raw_Data!J81/(Raw_Data!I81*Assumptions!$B$5),0)</f>
        <v>0.922221362229102</v>
      </c>
      <c r="F81" s="22" t="n">
        <f aca="false">IFERROR(Raw_Data!L81/Raw_Data!J81,0)</f>
        <v>0.981066042248911</v>
      </c>
      <c r="G81" s="22" t="n">
        <f aca="false">D81*E81*F81</f>
        <v>0.847065217391304</v>
      </c>
      <c r="H81" s="23" t="n">
        <f aca="false">MAX(0,(Raw_Data!I81*Assumptions!$B$5-Raw_Data!J81)/Assumptions!$B$5)</f>
        <v>100.49</v>
      </c>
      <c r="I81" s="23" t="n">
        <f aca="false">IFERROR(Raw_Data!K81/Assumptions!$B$5,0)</f>
        <v>22.56</v>
      </c>
    </row>
    <row r="82" customFormat="false" ht="15" hidden="false" customHeight="true" outlineLevel="0" collapsed="false">
      <c r="A82" s="19" t="str">
        <f aca="false">Raw_Data!A82</f>
        <v>2025-03-24</v>
      </c>
      <c r="B82" s="14" t="n">
        <f aca="false">Raw_Data!B82</f>
        <v>12</v>
      </c>
      <c r="C82" s="14" t="str">
        <f aca="false">Raw_Data!C82</f>
        <v>Improved</v>
      </c>
      <c r="D82" s="22" t="n">
        <f aca="false">IFERROR(Raw_Data!I82/Raw_Data!D82,0)</f>
        <v>0.911159420289855</v>
      </c>
      <c r="E82" s="22" t="n">
        <f aca="false">IFERROR(Raw_Data!J82/(Raw_Data!I82*Assumptions!$B$5),0)</f>
        <v>0.958954986480038</v>
      </c>
      <c r="F82" s="22" t="n">
        <f aca="false">IFERROR(Raw_Data!L82/Raw_Data!J82,0)</f>
        <v>0.982882591496032</v>
      </c>
      <c r="G82" s="22" t="n">
        <f aca="false">D82*E82*F82</f>
        <v>0.858804347826087</v>
      </c>
      <c r="H82" s="23" t="n">
        <f aca="false">MAX(0,(Raw_Data!I82*Assumptions!$B$5-Raw_Data!J82)/Assumptions!$B$5)</f>
        <v>51.6100000000002</v>
      </c>
      <c r="I82" s="23" t="n">
        <f aca="false">IFERROR(Raw_Data!K82/Assumptions!$B$5,0)</f>
        <v>20.64</v>
      </c>
    </row>
    <row r="83" customFormat="false" ht="15" hidden="false" customHeight="true" outlineLevel="0" collapsed="false">
      <c r="A83" s="19" t="str">
        <f aca="false">Raw_Data!A83</f>
        <v>2025-03-25</v>
      </c>
      <c r="B83" s="14" t="n">
        <f aca="false">Raw_Data!B83</f>
        <v>12</v>
      </c>
      <c r="C83" s="14" t="str">
        <f aca="false">Raw_Data!C83</f>
        <v>Improved</v>
      </c>
      <c r="D83" s="22" t="n">
        <f aca="false">IFERROR(Raw_Data!I83/Raw_Data!D83,0)</f>
        <v>0.935579710144928</v>
      </c>
      <c r="E83" s="22" t="n">
        <f aca="false">IFERROR(Raw_Data!J83/(Raw_Data!I83*Assumptions!$B$5),0)</f>
        <v>0.976616838354891</v>
      </c>
      <c r="F83" s="22" t="n">
        <f aca="false">IFERROR(Raw_Data!L83/Raw_Data!J83,0)</f>
        <v>0.974106002807496</v>
      </c>
      <c r="G83" s="22" t="n">
        <f aca="false">D83*E83*F83</f>
        <v>0.89004347826087</v>
      </c>
      <c r="H83" s="23" t="n">
        <f aca="false">MAX(0,(Raw_Data!I83*Assumptions!$B$5-Raw_Data!J83)/Assumptions!$B$5)</f>
        <v>30.1899999999999</v>
      </c>
      <c r="I83" s="23" t="n">
        <f aca="false">IFERROR(Raw_Data!K83/Assumptions!$B$5,0)</f>
        <v>32.65</v>
      </c>
    </row>
    <row r="84" customFormat="false" ht="15" hidden="false" customHeight="true" outlineLevel="0" collapsed="false">
      <c r="A84" s="19" t="str">
        <f aca="false">Raw_Data!A84</f>
        <v>2025-03-26</v>
      </c>
      <c r="B84" s="14" t="n">
        <f aca="false">Raw_Data!B84</f>
        <v>12</v>
      </c>
      <c r="C84" s="14" t="str">
        <f aca="false">Raw_Data!C84</f>
        <v>Improved</v>
      </c>
      <c r="D84" s="22" t="n">
        <f aca="false">IFERROR(Raw_Data!I84/Raw_Data!D84,0)</f>
        <v>0.931014492753623</v>
      </c>
      <c r="E84" s="22" t="n">
        <f aca="false">IFERROR(Raw_Data!J84/(Raw_Data!I84*Assumptions!$B$5),0)</f>
        <v>0.937749066002491</v>
      </c>
      <c r="F84" s="22" t="n">
        <f aca="false">IFERROR(Raw_Data!L84/Raw_Data!J84,0)</f>
        <v>0.973813515711891</v>
      </c>
      <c r="G84" s="22" t="n">
        <f aca="false">D84*E84*F84</f>
        <v>0.850195652173913</v>
      </c>
      <c r="H84" s="23" t="n">
        <f aca="false">MAX(0,(Raw_Data!I84*Assumptions!$B$5-Raw_Data!J84)/Assumptions!$B$5)</f>
        <v>79.98</v>
      </c>
      <c r="I84" s="23" t="n">
        <f aca="false">IFERROR(Raw_Data!K84/Assumptions!$B$5,0)</f>
        <v>31.55</v>
      </c>
    </row>
    <row r="85" customFormat="false" ht="15" hidden="false" customHeight="true" outlineLevel="0" collapsed="false">
      <c r="A85" s="19" t="str">
        <f aca="false">Raw_Data!A85</f>
        <v>2025-03-27</v>
      </c>
      <c r="B85" s="14" t="n">
        <f aca="false">Raw_Data!B85</f>
        <v>12</v>
      </c>
      <c r="C85" s="14" t="str">
        <f aca="false">Raw_Data!C85</f>
        <v>Improved</v>
      </c>
      <c r="D85" s="22" t="n">
        <f aca="false">IFERROR(Raw_Data!I85/Raw_Data!D85,0)</f>
        <v>0.941231884057971</v>
      </c>
      <c r="E85" s="22" t="n">
        <f aca="false">IFERROR(Raw_Data!J85/(Raw_Data!I85*Assumptions!$B$5),0)</f>
        <v>0.940934637000539</v>
      </c>
      <c r="F85" s="22" t="n">
        <f aca="false">IFERROR(Raw_Data!L85/Raw_Data!J85,0)</f>
        <v>0.982253023286259</v>
      </c>
      <c r="G85" s="22" t="n">
        <f aca="false">D85*E85*F85</f>
        <v>0.869920289855072</v>
      </c>
      <c r="H85" s="23" t="n">
        <f aca="false">MAX(0,(Raw_Data!I85*Assumptions!$B$5-Raw_Data!J85)/Assumptions!$B$5)</f>
        <v>76.7200000000001</v>
      </c>
      <c r="I85" s="23" t="n">
        <f aca="false">IFERROR(Raw_Data!K85/Assumptions!$B$5,0)</f>
        <v>21.69</v>
      </c>
    </row>
    <row r="86" customFormat="false" ht="15" hidden="false" customHeight="true" outlineLevel="0" collapsed="false">
      <c r="A86" s="19" t="str">
        <f aca="false">Raw_Data!A86</f>
        <v>2025-03-28</v>
      </c>
      <c r="B86" s="14" t="n">
        <f aca="false">Raw_Data!B86</f>
        <v>12</v>
      </c>
      <c r="C86" s="14" t="str">
        <f aca="false">Raw_Data!C86</f>
        <v>Improved</v>
      </c>
      <c r="D86" s="22" t="n">
        <f aca="false">IFERROR(Raw_Data!I86/Raw_Data!D86,0)</f>
        <v>0.92536231884058</v>
      </c>
      <c r="E86" s="22" t="n">
        <f aca="false">IFERROR(Raw_Data!J86/(Raw_Data!I86*Assumptions!$B$5),0)</f>
        <v>0.942451057165231</v>
      </c>
      <c r="F86" s="22" t="n">
        <f aca="false">IFERROR(Raw_Data!L86/Raw_Data!J86,0)</f>
        <v>0.977424367059684</v>
      </c>
      <c r="G86" s="22" t="n">
        <f aca="false">D86*E86*F86</f>
        <v>0.852420289855073</v>
      </c>
      <c r="H86" s="23" t="n">
        <f aca="false">MAX(0,(Raw_Data!I86*Assumptions!$B$5-Raw_Data!J86)/Assumptions!$B$5)</f>
        <v>73.49</v>
      </c>
      <c r="I86" s="23" t="n">
        <f aca="false">IFERROR(Raw_Data!K86/Assumptions!$B$5,0)</f>
        <v>27.17</v>
      </c>
    </row>
    <row r="87" customFormat="false" ht="15" hidden="false" customHeight="true" outlineLevel="0" collapsed="false">
      <c r="A87" s="19" t="str">
        <f aca="false">Raw_Data!A87</f>
        <v>2025-03-29</v>
      </c>
      <c r="B87" s="14" t="n">
        <f aca="false">Raw_Data!B87</f>
        <v>12</v>
      </c>
      <c r="C87" s="14" t="str">
        <f aca="false">Raw_Data!C87</f>
        <v>Improved</v>
      </c>
      <c r="D87" s="22" t="n">
        <f aca="false">IFERROR(Raw_Data!I87/Raw_Data!D87,0)</f>
        <v>0.932028985507246</v>
      </c>
      <c r="E87" s="22" t="n">
        <f aca="false">IFERROR(Raw_Data!J87/(Raw_Data!I87*Assumptions!$B$5),0)</f>
        <v>0.965549681231535</v>
      </c>
      <c r="F87" s="22" t="n">
        <f aca="false">IFERROR(Raw_Data!L87/Raw_Data!J87,0)</f>
        <v>0.978339466458382</v>
      </c>
      <c r="G87" s="22" t="n">
        <f aca="false">D87*E87*F87</f>
        <v>0.880427536231884</v>
      </c>
      <c r="H87" s="23" t="n">
        <f aca="false">MAX(0,(Raw_Data!I87*Assumptions!$B$5-Raw_Data!J87)/Assumptions!$B$5)</f>
        <v>44.31</v>
      </c>
      <c r="I87" s="23" t="n">
        <f aca="false">IFERROR(Raw_Data!K87/Assumptions!$B$5,0)</f>
        <v>26.9</v>
      </c>
    </row>
    <row r="88" customFormat="false" ht="15" hidden="false" customHeight="true" outlineLevel="0" collapsed="false">
      <c r="A88" s="19" t="str">
        <f aca="false">Raw_Data!A88</f>
        <v>2025-03-30</v>
      </c>
      <c r="B88" s="14" t="n">
        <f aca="false">Raw_Data!B88</f>
        <v>12</v>
      </c>
      <c r="C88" s="14" t="str">
        <f aca="false">Raw_Data!C88</f>
        <v>Improved</v>
      </c>
      <c r="D88" s="22" t="n">
        <f aca="false">IFERROR(Raw_Data!I88/Raw_Data!D88,0)</f>
        <v>0.920869565217391</v>
      </c>
      <c r="E88" s="22" t="n">
        <f aca="false">IFERROR(Raw_Data!J88/(Raw_Data!I88*Assumptions!$B$5),0)</f>
        <v>0.963558388416745</v>
      </c>
      <c r="F88" s="22" t="n">
        <f aca="false">IFERROR(Raw_Data!L88/Raw_Data!J88,0)</f>
        <v>0.979665003389166</v>
      </c>
      <c r="G88" s="22" t="n">
        <f aca="false">D88*E88*F88</f>
        <v>0.869268115942029</v>
      </c>
      <c r="H88" s="23" t="n">
        <f aca="false">MAX(0,(Raw_Data!I88*Assumptions!$B$5-Raw_Data!J88)/Assumptions!$B$5)</f>
        <v>46.31</v>
      </c>
      <c r="I88" s="23" t="n">
        <f aca="false">IFERROR(Raw_Data!K88/Assumptions!$B$5,0)</f>
        <v>24.9</v>
      </c>
    </row>
    <row r="91" customFormat="false" ht="17.25" hidden="false" customHeight="true" outlineLevel="0" collapsed="false">
      <c r="A91" s="10" t="s">
        <v>165</v>
      </c>
    </row>
    <row r="92" customFormat="false" ht="39" hidden="false" customHeight="true" outlineLevel="0" collapsed="false">
      <c r="A92" s="13" t="s">
        <v>59</v>
      </c>
      <c r="B92" s="13" t="s">
        <v>60</v>
      </c>
      <c r="C92" s="13" t="s">
        <v>166</v>
      </c>
      <c r="D92" s="13" t="s">
        <v>167</v>
      </c>
      <c r="E92" s="13" t="s">
        <v>168</v>
      </c>
      <c r="F92" s="13" t="s">
        <v>169</v>
      </c>
      <c r="G92" s="1" t="s">
        <v>170</v>
      </c>
    </row>
    <row r="93" customFormat="false" ht="15" hidden="false" customHeight="true" outlineLevel="0" collapsed="false">
      <c r="A93" s="14" t="n">
        <v>1</v>
      </c>
      <c r="B93" s="14" t="s">
        <v>71</v>
      </c>
      <c r="C93" s="22" t="n">
        <f aca="false">AVERAGEIF($B$5:$B$88,A93,D$5:D$88)</f>
        <v>0.820093167701863</v>
      </c>
      <c r="D93" s="22" t="n">
        <f aca="false">AVERAGEIF($B$5:$B$88,A93,E$5:E$88)</f>
        <v>0.846145780849685</v>
      </c>
      <c r="E93" s="22" t="n">
        <f aca="false">AVERAGEIF($B$5:$B$88,A93,F$5:F$88)</f>
        <v>0.952030148618686</v>
      </c>
      <c r="F93" s="22" t="n">
        <f aca="false">AVERAGEIF($B$5:$B$88,A93,G$5:G$88)</f>
        <v>0.660584886128364</v>
      </c>
      <c r="G93" s="24" t="n">
        <f aca="false">Assumptions!$B$7</f>
        <v>0.85</v>
      </c>
    </row>
    <row r="94" customFormat="false" ht="15" hidden="false" customHeight="true" outlineLevel="0" collapsed="false">
      <c r="A94" s="14" t="n">
        <v>2</v>
      </c>
      <c r="B94" s="14" t="s">
        <v>71</v>
      </c>
      <c r="C94" s="22" t="n">
        <f aca="false">AVERAGEIF($B$5:$B$88,A94,D$5:D$88)</f>
        <v>0.833354037267081</v>
      </c>
      <c r="D94" s="22" t="n">
        <f aca="false">AVERAGEIF($B$5:$B$88,A94,E$5:E$88)</f>
        <v>0.863906751823337</v>
      </c>
      <c r="E94" s="22" t="n">
        <f aca="false">AVERAGEIF($B$5:$B$88,A94,F$5:F$88)</f>
        <v>0.953349342483565</v>
      </c>
      <c r="F94" s="22" t="n">
        <f aca="false">AVERAGEIF($B$5:$B$88,A94,G$5:G$88)</f>
        <v>0.686242236024845</v>
      </c>
      <c r="G94" s="24" t="n">
        <f aca="false">Assumptions!$B$7</f>
        <v>0.85</v>
      </c>
    </row>
    <row r="95" customFormat="false" ht="15" hidden="false" customHeight="true" outlineLevel="0" collapsed="false">
      <c r="A95" s="14" t="n">
        <v>3</v>
      </c>
      <c r="B95" s="14" t="s">
        <v>71</v>
      </c>
      <c r="C95" s="22" t="n">
        <f aca="false">AVERAGEIF($B$5:$B$88,A95,D$5:D$88)</f>
        <v>0.8401966873706</v>
      </c>
      <c r="D95" s="22" t="n">
        <f aca="false">AVERAGEIF($B$5:$B$88,A95,E$5:E$88)</f>
        <v>0.873066071978902</v>
      </c>
      <c r="E95" s="22" t="n">
        <f aca="false">AVERAGEIF($B$5:$B$88,A95,F$5:F$88)</f>
        <v>0.959517562054429</v>
      </c>
      <c r="F95" s="22" t="n">
        <f aca="false">AVERAGEIF($B$5:$B$88,A95,G$5:G$88)</f>
        <v>0.703805383022774</v>
      </c>
      <c r="G95" s="24" t="n">
        <f aca="false">Assumptions!$B$7</f>
        <v>0.85</v>
      </c>
    </row>
    <row r="96" customFormat="false" ht="15" hidden="false" customHeight="true" outlineLevel="0" collapsed="false">
      <c r="A96" s="14" t="n">
        <v>4</v>
      </c>
      <c r="B96" s="14" t="s">
        <v>71</v>
      </c>
      <c r="C96" s="22" t="n">
        <f aca="false">AVERAGEIF($B$5:$B$88,A96,D$5:D$88)</f>
        <v>0.849668737060041</v>
      </c>
      <c r="D96" s="22" t="n">
        <f aca="false">AVERAGEIF($B$5:$B$88,A96,E$5:E$88)</f>
        <v>0.892809318904654</v>
      </c>
      <c r="E96" s="22" t="n">
        <f aca="false">AVERAGEIF($B$5:$B$88,A96,F$5:F$88)</f>
        <v>0.959310978015061</v>
      </c>
      <c r="F96" s="22" t="n">
        <f aca="false">AVERAGEIF($B$5:$B$88,A96,G$5:G$88)</f>
        <v>0.727898550724638</v>
      </c>
      <c r="G96" s="24" t="n">
        <f aca="false">Assumptions!$B$7</f>
        <v>0.85</v>
      </c>
    </row>
    <row r="97" customFormat="false" ht="15" hidden="false" customHeight="true" outlineLevel="0" collapsed="false">
      <c r="A97" s="14" t="n">
        <v>5</v>
      </c>
      <c r="B97" s="14" t="s">
        <v>100</v>
      </c>
      <c r="C97" s="22" t="n">
        <f aca="false">AVERAGEIF($B$5:$B$88,A97,D$5:D$88)</f>
        <v>0.85804347826087</v>
      </c>
      <c r="D97" s="22" t="n">
        <f aca="false">AVERAGEIF($B$5:$B$88,A97,E$5:E$88)</f>
        <v>0.886301406316101</v>
      </c>
      <c r="E97" s="22" t="n">
        <f aca="false">AVERAGEIF($B$5:$B$88,A97,F$5:F$88)</f>
        <v>0.959485015440621</v>
      </c>
      <c r="F97" s="22" t="n">
        <f aca="false">AVERAGEIF($B$5:$B$88,A97,G$5:G$88)</f>
        <v>0.729730848861284</v>
      </c>
      <c r="G97" s="24" t="n">
        <f aca="false">Assumptions!$B$7</f>
        <v>0.85</v>
      </c>
    </row>
    <row r="98" customFormat="false" ht="15" hidden="false" customHeight="true" outlineLevel="0" collapsed="false">
      <c r="A98" s="14" t="n">
        <v>6</v>
      </c>
      <c r="B98" s="14" t="s">
        <v>100</v>
      </c>
      <c r="C98" s="22" t="n">
        <f aca="false">AVERAGEIF($B$5:$B$88,A98,D$5:D$88)</f>
        <v>0.864482401656315</v>
      </c>
      <c r="D98" s="22" t="n">
        <f aca="false">AVERAGEIF($B$5:$B$88,A98,E$5:E$88)</f>
        <v>0.895646562066751</v>
      </c>
      <c r="E98" s="22" t="n">
        <f aca="false">AVERAGEIF($B$5:$B$88,A98,F$5:F$88)</f>
        <v>0.961858895927319</v>
      </c>
      <c r="F98" s="22" t="n">
        <f aca="false">AVERAGEIF($B$5:$B$88,A98,G$5:G$88)</f>
        <v>0.744736024844721</v>
      </c>
      <c r="G98" s="24" t="n">
        <f aca="false">Assumptions!$B$7</f>
        <v>0.85</v>
      </c>
    </row>
    <row r="99" customFormat="false" ht="15" hidden="false" customHeight="true" outlineLevel="0" collapsed="false">
      <c r="A99" s="14" t="n">
        <v>7</v>
      </c>
      <c r="B99" s="14" t="s">
        <v>100</v>
      </c>
      <c r="C99" s="22" t="n">
        <f aca="false">AVERAGEIF($B$5:$B$88,A99,D$5:D$88)</f>
        <v>0.875031055900621</v>
      </c>
      <c r="D99" s="22" t="n">
        <f aca="false">AVERAGEIF($B$5:$B$88,A99,E$5:E$88)</f>
        <v>0.896189849357308</v>
      </c>
      <c r="E99" s="22" t="n">
        <f aca="false">AVERAGEIF($B$5:$B$88,A99,F$5:F$88)</f>
        <v>0.965098231865836</v>
      </c>
      <c r="F99" s="22" t="n">
        <f aca="false">AVERAGEIF($B$5:$B$88,A99,G$5:G$88)</f>
        <v>0.756849896480331</v>
      </c>
      <c r="G99" s="24" t="n">
        <f aca="false">Assumptions!$B$7</f>
        <v>0.85</v>
      </c>
    </row>
    <row r="100" customFormat="false" ht="15" hidden="false" customHeight="true" outlineLevel="0" collapsed="false">
      <c r="A100" s="14" t="n">
        <v>8</v>
      </c>
      <c r="B100" s="14" t="s">
        <v>100</v>
      </c>
      <c r="C100" s="22" t="n">
        <f aca="false">AVERAGEIF($B$5:$B$88,A100,D$5:D$88)</f>
        <v>0.890683229813665</v>
      </c>
      <c r="D100" s="22" t="n">
        <f aca="false">AVERAGEIF($B$5:$B$88,A100,E$5:E$88)</f>
        <v>0.916207962896908</v>
      </c>
      <c r="E100" s="22" t="n">
        <f aca="false">AVERAGEIF($B$5:$B$88,A100,F$5:F$88)</f>
        <v>0.970397184849296</v>
      </c>
      <c r="F100" s="22" t="n">
        <f aca="false">AVERAGEIF($B$5:$B$88,A100,G$5:G$88)</f>
        <v>0.791805383022774</v>
      </c>
      <c r="G100" s="24" t="n">
        <f aca="false">Assumptions!$B$7</f>
        <v>0.85</v>
      </c>
    </row>
    <row r="101" customFormat="false" ht="15" hidden="false" customHeight="true" outlineLevel="0" collapsed="false">
      <c r="A101" s="14" t="n">
        <v>9</v>
      </c>
      <c r="B101" s="14" t="s">
        <v>129</v>
      </c>
      <c r="C101" s="22" t="n">
        <f aca="false">AVERAGEIF($B$5:$B$88,A101,D$5:D$88)</f>
        <v>0.896449275362319</v>
      </c>
      <c r="D101" s="22" t="n">
        <f aca="false">AVERAGEIF($B$5:$B$88,A101,E$5:E$88)</f>
        <v>0.92583704045556</v>
      </c>
      <c r="E101" s="22" t="n">
        <f aca="false">AVERAGEIF($B$5:$B$88,A101,F$5:F$88)</f>
        <v>0.969260812779158</v>
      </c>
      <c r="F101" s="22" t="n">
        <f aca="false">AVERAGEIF($B$5:$B$88,A101,G$5:G$88)</f>
        <v>0.804568322981366</v>
      </c>
      <c r="G101" s="24" t="n">
        <f aca="false">Assumptions!$B$7</f>
        <v>0.85</v>
      </c>
    </row>
    <row r="102" customFormat="false" ht="15" hidden="false" customHeight="true" outlineLevel="0" collapsed="false">
      <c r="A102" s="14" t="n">
        <v>10</v>
      </c>
      <c r="B102" s="14" t="s">
        <v>129</v>
      </c>
      <c r="C102" s="22" t="n">
        <f aca="false">AVERAGEIF($B$5:$B$88,A102,D$5:D$88)</f>
        <v>0.909420289855073</v>
      </c>
      <c r="D102" s="22" t="n">
        <f aca="false">AVERAGEIF($B$5:$B$88,A102,E$5:E$88)</f>
        <v>0.929898194717397</v>
      </c>
      <c r="E102" s="22" t="n">
        <f aca="false">AVERAGEIF($B$5:$B$88,A102,F$5:F$88)</f>
        <v>0.975103783372467</v>
      </c>
      <c r="F102" s="22" t="n">
        <f aca="false">AVERAGEIF($B$5:$B$88,A102,G$5:G$88)</f>
        <v>0.824587991718427</v>
      </c>
      <c r="G102" s="24" t="n">
        <f aca="false">Assumptions!$B$7</f>
        <v>0.85</v>
      </c>
    </row>
    <row r="103" customFormat="false" ht="15" hidden="false" customHeight="true" outlineLevel="0" collapsed="false">
      <c r="A103" s="14" t="n">
        <v>11</v>
      </c>
      <c r="B103" s="14" t="s">
        <v>129</v>
      </c>
      <c r="C103" s="22" t="n">
        <f aca="false">AVERAGEIF($B$5:$B$88,A103,D$5:D$88)</f>
        <v>0.914089026915114</v>
      </c>
      <c r="D103" s="22" t="n">
        <f aca="false">AVERAGEIF($B$5:$B$88,A103,E$5:E$88)</f>
        <v>0.942106171669077</v>
      </c>
      <c r="E103" s="22" t="n">
        <f aca="false">AVERAGEIF($B$5:$B$88,A103,F$5:F$88)</f>
        <v>0.977517553847219</v>
      </c>
      <c r="F103" s="22" t="n">
        <f aca="false">AVERAGEIF($B$5:$B$88,A103,G$5:G$88)</f>
        <v>0.841788819875776</v>
      </c>
      <c r="G103" s="24" t="n">
        <f aca="false">Assumptions!$B$7</f>
        <v>0.85</v>
      </c>
    </row>
    <row r="104" customFormat="false" ht="15" hidden="false" customHeight="true" outlineLevel="0" collapsed="false">
      <c r="A104" s="14" t="n">
        <v>12</v>
      </c>
      <c r="B104" s="14" t="s">
        <v>129</v>
      </c>
      <c r="C104" s="22" t="n">
        <f aca="false">AVERAGEIF($B$5:$B$88,A104,D$5:D$88)</f>
        <v>0.928178053830228</v>
      </c>
      <c r="D104" s="22" t="n">
        <f aca="false">AVERAGEIF($B$5:$B$88,A104,E$5:E$88)</f>
        <v>0.955116379235924</v>
      </c>
      <c r="E104" s="22" t="n">
        <f aca="false">AVERAGEIF($B$5:$B$88,A104,F$5:F$88)</f>
        <v>0.978354852886987</v>
      </c>
      <c r="F104" s="22" t="n">
        <f aca="false">AVERAGEIF($B$5:$B$88,A104,G$5:G$88)</f>
        <v>0.867297101449275</v>
      </c>
      <c r="G104" s="24" t="n">
        <f aca="false">Assumptions!$B$7</f>
        <v>0.85</v>
      </c>
    </row>
    <row r="107" customFormat="false" ht="17.25" hidden="false" customHeight="true" outlineLevel="0" collapsed="false">
      <c r="A107" s="10" t="s">
        <v>171</v>
      </c>
    </row>
    <row r="108" customFormat="false" ht="39" hidden="false" customHeight="true" outlineLevel="0" collapsed="false">
      <c r="A108" s="13" t="s">
        <v>60</v>
      </c>
      <c r="B108" s="13" t="s">
        <v>166</v>
      </c>
      <c r="C108" s="13" t="s">
        <v>167</v>
      </c>
      <c r="D108" s="13" t="s">
        <v>168</v>
      </c>
      <c r="E108" s="13" t="s">
        <v>169</v>
      </c>
    </row>
    <row r="109" customFormat="false" ht="15" hidden="false" customHeight="true" outlineLevel="0" collapsed="false">
      <c r="A109" s="14" t="s">
        <v>71</v>
      </c>
      <c r="B109" s="22" t="n">
        <f aca="false">AVERAGEIF($C$5:$C$88,A109,D$5:D$88)</f>
        <v>0.835828157349897</v>
      </c>
      <c r="C109" s="22" t="n">
        <f aca="false">AVERAGEIF($C$5:$C$88,A109,E$5:E$88)</f>
        <v>0.868981980889145</v>
      </c>
      <c r="D109" s="22" t="n">
        <f aca="false">AVERAGEIF($C$5:$C$88,A109,F$5:F$88)</f>
        <v>0.956052007792935</v>
      </c>
      <c r="E109" s="22" t="n">
        <f aca="false">AVERAGEIF($C$5:$C$88,A109,G$5:G$88)</f>
        <v>0.694632763975155</v>
      </c>
    </row>
    <row r="110" customFormat="false" ht="15" hidden="false" customHeight="true" outlineLevel="0" collapsed="false">
      <c r="A110" s="14" t="s">
        <v>100</v>
      </c>
      <c r="B110" s="22" t="n">
        <f aca="false">AVERAGEIF($C$5:$C$88,A110,D$5:D$88)</f>
        <v>0.872060041407868</v>
      </c>
      <c r="C110" s="22" t="n">
        <f aca="false">AVERAGEIF($C$5:$C$88,A110,E$5:E$88)</f>
        <v>0.898586445159267</v>
      </c>
      <c r="D110" s="22" t="n">
        <f aca="false">AVERAGEIF($C$5:$C$88,A110,F$5:F$88)</f>
        <v>0.964209832020768</v>
      </c>
      <c r="E110" s="22" t="n">
        <f aca="false">AVERAGEIF($C$5:$C$88,A110,G$5:G$88)</f>
        <v>0.755780538302277</v>
      </c>
    </row>
    <row r="111" customFormat="false" ht="15" hidden="false" customHeight="true" outlineLevel="0" collapsed="false">
      <c r="A111" s="14" t="s">
        <v>129</v>
      </c>
      <c r="B111" s="22" t="n">
        <f aca="false">AVERAGEIF($C$5:$C$88,A111,D$5:D$88)</f>
        <v>0.912034161490683</v>
      </c>
      <c r="C111" s="22" t="n">
        <f aca="false">AVERAGEIF($C$5:$C$88,A111,E$5:E$88)</f>
        <v>0.93823944651949</v>
      </c>
      <c r="D111" s="22" t="n">
        <f aca="false">AVERAGEIF($C$5:$C$88,A111,F$5:F$88)</f>
        <v>0.975059250721458</v>
      </c>
      <c r="E111" s="22" t="n">
        <f aca="false">AVERAGEIF($C$5:$C$88,A111,G$5:G$88)</f>
        <v>0.834560559006211</v>
      </c>
    </row>
  </sheetData>
  <mergeCells count="2">
    <mergeCell ref="A1:I1"/>
    <mergeCell ref="A2:I2"/>
  </mergeCells>
  <conditionalFormatting sqref="G5:G8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4"/>
  </cols>
  <sheetData>
    <row r="1" customFormat="false" ht="30" hidden="false" customHeight="true" outlineLevel="0" collapsed="false">
      <c r="A1" s="2" t="s">
        <v>172</v>
      </c>
      <c r="B1" s="2"/>
      <c r="C1" s="2"/>
      <c r="D1" s="2"/>
      <c r="E1" s="2"/>
    </row>
    <row r="2" customFormat="false" ht="18" hidden="false" customHeight="true" outlineLevel="0" collapsed="false">
      <c r="A2" s="3" t="s">
        <v>173</v>
      </c>
      <c r="B2" s="3"/>
      <c r="C2" s="3"/>
      <c r="D2" s="3"/>
      <c r="E2" s="3"/>
    </row>
    <row r="4" customFormat="false" ht="26.25" hidden="false" customHeight="true" outlineLevel="0" collapsed="false">
      <c r="A4" s="13" t="s">
        <v>174</v>
      </c>
      <c r="B4" s="13" t="s">
        <v>175</v>
      </c>
      <c r="C4" s="13" t="s">
        <v>176</v>
      </c>
      <c r="D4" s="13" t="s">
        <v>177</v>
      </c>
      <c r="E4" s="13" t="s">
        <v>178</v>
      </c>
    </row>
    <row r="5" customFormat="false" ht="15" hidden="false" customHeight="true" outlineLevel="0" collapsed="false">
      <c r="A5" s="14" t="s">
        <v>179</v>
      </c>
      <c r="B5" s="14" t="s">
        <v>160</v>
      </c>
      <c r="C5" s="20" t="n">
        <f aca="false">SUM(OEE_Calc!H5:H88)</f>
        <v>9809.66</v>
      </c>
      <c r="D5" s="22" t="n">
        <f aca="false">C5/$C$10</f>
        <v>0.355054416418343</v>
      </c>
      <c r="E5" s="22" t="n">
        <f aca="false">D5</f>
        <v>0.355054416418343</v>
      </c>
    </row>
    <row r="6" customFormat="false" ht="15" hidden="false" customHeight="true" outlineLevel="0" collapsed="false">
      <c r="A6" s="14" t="s">
        <v>180</v>
      </c>
      <c r="B6" s="14" t="s">
        <v>159</v>
      </c>
      <c r="C6" s="20" t="n">
        <f aca="false">SUM(Raw_Data!E5:E88)</f>
        <v>6633.8</v>
      </c>
      <c r="D6" s="22" t="n">
        <f aca="false">C6/$C$10</f>
        <v>0.240106179789718</v>
      </c>
      <c r="E6" s="22" t="n">
        <f aca="false">E5+D6</f>
        <v>0.595160596208061</v>
      </c>
    </row>
    <row r="7" customFormat="false" ht="15" hidden="false" customHeight="true" outlineLevel="0" collapsed="false">
      <c r="A7" s="14" t="s">
        <v>181</v>
      </c>
      <c r="B7" s="14" t="s">
        <v>159</v>
      </c>
      <c r="C7" s="20" t="n">
        <f aca="false">SUM(Raw_Data!F5:F88)</f>
        <v>4686.7</v>
      </c>
      <c r="D7" s="22" t="n">
        <f aca="false">C7/$C$10</f>
        <v>0.16963213133053</v>
      </c>
      <c r="E7" s="22" t="n">
        <f aca="false">E6+D7</f>
        <v>0.764792727538591</v>
      </c>
    </row>
    <row r="8" customFormat="false" ht="15" hidden="false" customHeight="true" outlineLevel="0" collapsed="false">
      <c r="A8" s="14" t="s">
        <v>182</v>
      </c>
      <c r="B8" s="14" t="s">
        <v>159</v>
      </c>
      <c r="C8" s="20" t="n">
        <f aca="false">SUM(Raw_Data!G5:G88)</f>
        <v>3365.7</v>
      </c>
      <c r="D8" s="22" t="n">
        <f aca="false">C8/$C$10</f>
        <v>0.121819374916074</v>
      </c>
      <c r="E8" s="22" t="n">
        <f aca="false">E7+D8</f>
        <v>0.886612102454666</v>
      </c>
    </row>
    <row r="9" customFormat="false" ht="15" hidden="false" customHeight="true" outlineLevel="0" collapsed="false">
      <c r="A9" s="14" t="s">
        <v>183</v>
      </c>
      <c r="B9" s="14" t="s">
        <v>161</v>
      </c>
      <c r="C9" s="20" t="n">
        <f aca="false">SUM(OEE_Calc!I5:I88)</f>
        <v>3132.75</v>
      </c>
      <c r="D9" s="22" t="n">
        <f aca="false">C9/$C$10</f>
        <v>0.113387897545334</v>
      </c>
      <c r="E9" s="22" t="n">
        <f aca="false">E8+D9</f>
        <v>1</v>
      </c>
    </row>
    <row r="10" customFormat="false" ht="15" hidden="false" customHeight="true" outlineLevel="0" collapsed="false">
      <c r="A10" s="25" t="s">
        <v>184</v>
      </c>
      <c r="B10" s="26"/>
      <c r="C10" s="27" t="n">
        <f aca="false">SUM(C5:C9)</f>
        <v>27628.61</v>
      </c>
      <c r="D10" s="26"/>
      <c r="E10" s="26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18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20"/>
  </cols>
  <sheetData>
    <row r="1" customFormat="false" ht="30" hidden="false" customHeight="true" outlineLevel="0" collapsed="false">
      <c r="A1" s="2" t="s">
        <v>185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186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13" t="s">
        <v>187</v>
      </c>
      <c r="B4" s="13" t="s">
        <v>188</v>
      </c>
      <c r="C4" s="13" t="s">
        <v>189</v>
      </c>
      <c r="D4" s="13" t="s">
        <v>190</v>
      </c>
      <c r="E4" s="13" t="s">
        <v>191</v>
      </c>
      <c r="F4" s="13" t="s">
        <v>192</v>
      </c>
      <c r="G4" s="13" t="s">
        <v>193</v>
      </c>
      <c r="H4" s="13" t="s">
        <v>194</v>
      </c>
    </row>
    <row r="5" customFormat="false" ht="42" hidden="false" customHeight="true" outlineLevel="0" collapsed="false">
      <c r="A5" s="28" t="s">
        <v>195</v>
      </c>
      <c r="B5" s="28" t="s">
        <v>196</v>
      </c>
      <c r="C5" s="28" t="s">
        <v>197</v>
      </c>
      <c r="D5" s="28" t="s">
        <v>198</v>
      </c>
      <c r="E5" s="28" t="s">
        <v>199</v>
      </c>
      <c r="F5" s="28" t="s">
        <v>200</v>
      </c>
      <c r="G5" s="29" t="s">
        <v>201</v>
      </c>
      <c r="H5" s="28" t="s">
        <v>202</v>
      </c>
    </row>
    <row r="6" customFormat="false" ht="42" hidden="false" customHeight="true" outlineLevel="0" collapsed="false">
      <c r="A6" s="28" t="s">
        <v>203</v>
      </c>
      <c r="B6" s="28" t="s">
        <v>204</v>
      </c>
      <c r="C6" s="28" t="s">
        <v>205</v>
      </c>
      <c r="D6" s="28" t="s">
        <v>206</v>
      </c>
      <c r="E6" s="28" t="s">
        <v>207</v>
      </c>
      <c r="F6" s="28" t="s">
        <v>208</v>
      </c>
      <c r="G6" s="29" t="s">
        <v>201</v>
      </c>
      <c r="H6" s="28" t="s">
        <v>209</v>
      </c>
    </row>
    <row r="7" customFormat="false" ht="42" hidden="false" customHeight="true" outlineLevel="0" collapsed="false">
      <c r="A7" s="28" t="s">
        <v>210</v>
      </c>
      <c r="B7" s="28" t="s">
        <v>211</v>
      </c>
      <c r="C7" s="28" t="s">
        <v>212</v>
      </c>
      <c r="D7" s="28" t="s">
        <v>213</v>
      </c>
      <c r="E7" s="28" t="s">
        <v>214</v>
      </c>
      <c r="F7" s="28" t="s">
        <v>208</v>
      </c>
      <c r="G7" s="29" t="s">
        <v>201</v>
      </c>
      <c r="H7" s="28" t="s">
        <v>215</v>
      </c>
    </row>
    <row r="8" customFormat="false" ht="42" hidden="false" customHeight="true" outlineLevel="0" collapsed="false">
      <c r="A8" s="28" t="s">
        <v>216</v>
      </c>
      <c r="B8" s="28" t="s">
        <v>217</v>
      </c>
      <c r="C8" s="28" t="s">
        <v>218</v>
      </c>
      <c r="D8" s="28" t="s">
        <v>219</v>
      </c>
      <c r="E8" s="28" t="s">
        <v>220</v>
      </c>
      <c r="F8" s="28" t="s">
        <v>221</v>
      </c>
      <c r="G8" s="29" t="s">
        <v>201</v>
      </c>
      <c r="H8" s="28" t="s">
        <v>222</v>
      </c>
    </row>
    <row r="9" customFormat="false" ht="42" hidden="false" customHeight="true" outlineLevel="0" collapsed="false">
      <c r="A9" s="28" t="s">
        <v>203</v>
      </c>
      <c r="B9" s="28" t="s">
        <v>223</v>
      </c>
      <c r="C9" s="28" t="s">
        <v>224</v>
      </c>
      <c r="D9" s="28" t="s">
        <v>225</v>
      </c>
      <c r="E9" s="28" t="s">
        <v>226</v>
      </c>
      <c r="F9" s="28" t="s">
        <v>221</v>
      </c>
      <c r="G9" s="29" t="s">
        <v>201</v>
      </c>
      <c r="H9" s="28" t="s">
        <v>227</v>
      </c>
    </row>
    <row r="10" customFormat="false" ht="42" hidden="false" customHeight="true" outlineLevel="0" collapsed="false">
      <c r="A10" s="28" t="s">
        <v>228</v>
      </c>
      <c r="B10" s="28" t="s">
        <v>229</v>
      </c>
      <c r="C10" s="28" t="s">
        <v>230</v>
      </c>
      <c r="D10" s="28" t="s">
        <v>231</v>
      </c>
      <c r="E10" s="28" t="s">
        <v>232</v>
      </c>
      <c r="F10" s="28" t="s">
        <v>233</v>
      </c>
      <c r="G10" s="29" t="s">
        <v>201</v>
      </c>
      <c r="H10" s="28" t="s">
        <v>234</v>
      </c>
    </row>
    <row r="11" customFormat="false" ht="42" hidden="false" customHeight="true" outlineLevel="0" collapsed="false">
      <c r="A11" s="28" t="s">
        <v>210</v>
      </c>
      <c r="B11" s="28" t="s">
        <v>235</v>
      </c>
      <c r="C11" s="28" t="s">
        <v>236</v>
      </c>
      <c r="D11" s="28" t="s">
        <v>237</v>
      </c>
      <c r="E11" s="28" t="s">
        <v>238</v>
      </c>
      <c r="F11" s="28" t="s">
        <v>239</v>
      </c>
      <c r="G11" s="29" t="s">
        <v>201</v>
      </c>
      <c r="H11" s="28" t="s">
        <v>240</v>
      </c>
    </row>
    <row r="12" customFormat="false" ht="42" hidden="false" customHeight="true" outlineLevel="0" collapsed="false">
      <c r="A12" s="28" t="s">
        <v>241</v>
      </c>
      <c r="B12" s="28" t="s">
        <v>242</v>
      </c>
      <c r="C12" s="28" t="s">
        <v>243</v>
      </c>
      <c r="D12" s="28" t="s">
        <v>244</v>
      </c>
      <c r="E12" s="28" t="s">
        <v>245</v>
      </c>
      <c r="F12" s="28" t="s">
        <v>246</v>
      </c>
      <c r="G12" s="30" t="s">
        <v>247</v>
      </c>
      <c r="H12" s="28" t="s">
        <v>248</v>
      </c>
    </row>
    <row r="13" customFormat="false" ht="42" hidden="false" customHeight="true" outlineLevel="0" collapsed="false">
      <c r="A13" s="28" t="s">
        <v>249</v>
      </c>
      <c r="B13" s="28" t="s">
        <v>250</v>
      </c>
      <c r="C13" s="28" t="s">
        <v>251</v>
      </c>
      <c r="D13" s="28" t="s">
        <v>252</v>
      </c>
      <c r="E13" s="28" t="s">
        <v>253</v>
      </c>
      <c r="F13" s="28" t="s">
        <v>233</v>
      </c>
      <c r="G13" s="29" t="s">
        <v>201</v>
      </c>
      <c r="H13" s="28" t="s">
        <v>254</v>
      </c>
    </row>
    <row r="14" customFormat="false" ht="42" hidden="false" customHeight="true" outlineLevel="0" collapsed="false">
      <c r="A14" s="28" t="s">
        <v>255</v>
      </c>
      <c r="B14" s="28" t="s">
        <v>256</v>
      </c>
      <c r="C14" s="28" t="s">
        <v>257</v>
      </c>
      <c r="D14" s="28" t="s">
        <v>258</v>
      </c>
      <c r="E14" s="28" t="s">
        <v>259</v>
      </c>
      <c r="F14" s="28" t="s">
        <v>239</v>
      </c>
      <c r="G14" s="29" t="s">
        <v>201</v>
      </c>
      <c r="H14" s="28" t="s">
        <v>260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55"/>
    <col collapsed="false" customWidth="true" hidden="false" outlineLevel="0" max="4" min="4" style="1" width="20"/>
  </cols>
  <sheetData>
    <row r="1" customFormat="false" ht="30" hidden="false" customHeight="true" outlineLevel="0" collapsed="false">
      <c r="A1" s="2" t="s">
        <v>261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262</v>
      </c>
      <c r="B2" s="3"/>
      <c r="C2" s="3"/>
      <c r="D2" s="3"/>
      <c r="E2" s="3"/>
      <c r="F2" s="3"/>
    </row>
    <row r="4" customFormat="false" ht="17.25" hidden="false" customHeight="true" outlineLevel="0" collapsed="false">
      <c r="A4" s="10" t="s">
        <v>263</v>
      </c>
    </row>
    <row r="5" customFormat="false" ht="26.25" hidden="false" customHeight="true" outlineLevel="0" collapsed="false">
      <c r="A5" s="13" t="s">
        <v>264</v>
      </c>
      <c r="B5" s="13" t="s">
        <v>265</v>
      </c>
      <c r="C5" s="13" t="s">
        <v>266</v>
      </c>
      <c r="D5" s="13" t="s">
        <v>267</v>
      </c>
    </row>
    <row r="6" customFormat="false" ht="15" hidden="false" customHeight="true" outlineLevel="0" collapsed="false">
      <c r="A6" s="14" t="s">
        <v>159</v>
      </c>
      <c r="B6" s="22" t="n">
        <f aca="false">OEE_Calc!B109</f>
        <v>0.835828157349897</v>
      </c>
      <c r="C6" s="22" t="n">
        <f aca="false">OEE_Calc!B111</f>
        <v>0.912034161490683</v>
      </c>
      <c r="D6" s="31" t="n">
        <f aca="false">C6-B6</f>
        <v>0.0762060041407867</v>
      </c>
    </row>
    <row r="7" customFormat="false" ht="15" hidden="false" customHeight="true" outlineLevel="0" collapsed="false">
      <c r="A7" s="14" t="s">
        <v>160</v>
      </c>
      <c r="B7" s="22" t="n">
        <f aca="false">OEE_Calc!C109</f>
        <v>0.868981980889145</v>
      </c>
      <c r="C7" s="22" t="n">
        <f aca="false">OEE_Calc!C111</f>
        <v>0.93823944651949</v>
      </c>
      <c r="D7" s="31" t="n">
        <f aca="false">C7-B7</f>
        <v>0.0692574656303452</v>
      </c>
    </row>
    <row r="8" customFormat="false" ht="15" hidden="false" customHeight="true" outlineLevel="0" collapsed="false">
      <c r="A8" s="14" t="s">
        <v>161</v>
      </c>
      <c r="B8" s="22" t="n">
        <f aca="false">OEE_Calc!D109</f>
        <v>0.956052007792935</v>
      </c>
      <c r="C8" s="22" t="n">
        <f aca="false">OEE_Calc!D111</f>
        <v>0.975059250721458</v>
      </c>
      <c r="D8" s="31" t="n">
        <f aca="false">C8-B8</f>
        <v>0.0190072429285226</v>
      </c>
    </row>
    <row r="9" customFormat="false" ht="15" hidden="false" customHeight="true" outlineLevel="0" collapsed="false">
      <c r="A9" s="25" t="s">
        <v>162</v>
      </c>
      <c r="B9" s="22" t="n">
        <f aca="false">OEE_Calc!E109</f>
        <v>0.694632763975155</v>
      </c>
      <c r="C9" s="22" t="n">
        <f aca="false">OEE_Calc!E111</f>
        <v>0.834560559006211</v>
      </c>
      <c r="D9" s="31" t="n">
        <f aca="false">C9-B9</f>
        <v>0.139927795031056</v>
      </c>
    </row>
    <row r="12" customFormat="false" ht="17.25" hidden="false" customHeight="true" outlineLevel="0" collapsed="false">
      <c r="A12" s="10" t="s">
        <v>268</v>
      </c>
    </row>
    <row r="13" customFormat="false" ht="15" hidden="false" customHeight="true" outlineLevel="0" collapsed="false">
      <c r="A13" s="13" t="s">
        <v>269</v>
      </c>
      <c r="B13" s="13" t="s">
        <v>35</v>
      </c>
      <c r="C13" s="13" t="s">
        <v>270</v>
      </c>
    </row>
    <row r="14" customFormat="false" ht="23.25" hidden="false" customHeight="true" outlineLevel="0" collapsed="false">
      <c r="A14" s="14" t="s">
        <v>271</v>
      </c>
      <c r="B14" s="23" t="n">
        <f aca="false">AVERAGEIF(Raw_Data!C5:C88,"Baseline",Raw_Data!H5:H88)-AVERAGEIF(Raw_Data!C5:C88,"Improved",Raw_Data!H5:H88)</f>
        <v>105.164285714286</v>
      </c>
      <c r="C14" s="32" t="s">
        <v>272</v>
      </c>
    </row>
    <row r="15" customFormat="false" ht="15" hidden="false" customHeight="true" outlineLevel="0" collapsed="false">
      <c r="A15" s="14" t="s">
        <v>273</v>
      </c>
      <c r="B15" s="20" t="n">
        <f aca="false">(AVERAGEIF(Raw_Data!C5:C88,"Improved",Raw_Data!J5:J88)-AVERAGEIF(Raw_Data!C5:C88,"Baseline",Raw_Data!J5:J88))</f>
        <v>17847.6428571429</v>
      </c>
      <c r="C15" s="32" t="s">
        <v>274</v>
      </c>
    </row>
    <row r="16" customFormat="false" ht="15" hidden="false" customHeight="true" outlineLevel="0" collapsed="false">
      <c r="A16" s="14" t="s">
        <v>275</v>
      </c>
      <c r="B16" s="33" t="n">
        <f aca="false">B14*Assumptions!$B$8*Assumptions!$B$10</f>
        <v>1840375</v>
      </c>
      <c r="C16" s="32" t="s">
        <v>276</v>
      </c>
    </row>
    <row r="17" customFormat="false" ht="23.25" hidden="false" customHeight="true" outlineLevel="0" collapsed="false">
      <c r="A17" s="14" t="s">
        <v>277</v>
      </c>
      <c r="B17" s="33" t="n">
        <f aca="false">(AVERAGEIF(Raw_Data!C5:C88,"Baseline",Raw_Data!K5:K88)-AVERAGEIF(Raw_Data!C5:C88,"Improved",Raw_Data!K5:K88))*Assumptions!$B$9*Assumptions!$B$10</f>
        <v>76775.625</v>
      </c>
      <c r="C17" s="32" t="s">
        <v>278</v>
      </c>
    </row>
    <row r="18" customFormat="false" ht="15" hidden="false" customHeight="true" outlineLevel="0" collapsed="false">
      <c r="A18" s="25" t="s">
        <v>279</v>
      </c>
      <c r="B18" s="34" t="n">
        <f aca="false">B16+B17</f>
        <v>1917150.625</v>
      </c>
      <c r="C18" s="32" t="s">
        <v>280</v>
      </c>
    </row>
    <row r="21" customFormat="false" ht="17.25" hidden="false" customHeight="true" outlineLevel="0" collapsed="false">
      <c r="A21" s="10" t="s">
        <v>281</v>
      </c>
    </row>
    <row r="22" customFormat="false" ht="54.75" hidden="false" customHeight="true" outlineLevel="0" collapsed="false">
      <c r="A22" s="35" t="s">
        <v>282</v>
      </c>
      <c r="B22" s="28" t="s">
        <v>283</v>
      </c>
      <c r="C22" s="28"/>
      <c r="D22" s="28"/>
      <c r="E22" s="28"/>
      <c r="F22" s="28"/>
    </row>
    <row r="23" customFormat="false" ht="54.75" hidden="false" customHeight="true" outlineLevel="0" collapsed="false">
      <c r="A23" s="35" t="s">
        <v>284</v>
      </c>
      <c r="B23" s="28" t="s">
        <v>285</v>
      </c>
      <c r="C23" s="28"/>
      <c r="D23" s="28"/>
      <c r="E23" s="28"/>
      <c r="F23" s="28"/>
    </row>
    <row r="24" customFormat="false" ht="54.75" hidden="false" customHeight="true" outlineLevel="0" collapsed="false">
      <c r="A24" s="35" t="s">
        <v>286</v>
      </c>
      <c r="B24" s="28" t="s">
        <v>287</v>
      </c>
      <c r="C24" s="28"/>
      <c r="D24" s="28"/>
      <c r="E24" s="28"/>
      <c r="F24" s="28"/>
    </row>
    <row r="25" customFormat="false" ht="54.75" hidden="false" customHeight="true" outlineLevel="0" collapsed="false">
      <c r="A25" s="35" t="s">
        <v>288</v>
      </c>
      <c r="B25" s="28" t="s">
        <v>289</v>
      </c>
      <c r="C25" s="28"/>
      <c r="D25" s="28"/>
      <c r="E25" s="28"/>
      <c r="F25" s="28"/>
    </row>
    <row r="27" customFormat="false" ht="17.25" hidden="false" customHeight="true" outlineLevel="0" collapsed="false">
      <c r="A27" s="10" t="s">
        <v>290</v>
      </c>
    </row>
    <row r="28" customFormat="false" ht="15" hidden="false" customHeight="true" outlineLevel="0" collapsed="false">
      <c r="A28" s="36" t="s">
        <v>291</v>
      </c>
      <c r="B28" s="36"/>
      <c r="C28" s="36"/>
      <c r="D28" s="36"/>
      <c r="E28" s="36"/>
      <c r="F28" s="36"/>
    </row>
    <row r="29" customFormat="false" ht="15" hidden="false" customHeight="true" outlineLevel="0" collapsed="false">
      <c r="A29" s="36" t="s">
        <v>292</v>
      </c>
      <c r="B29" s="36"/>
      <c r="C29" s="36"/>
      <c r="D29" s="36"/>
      <c r="E29" s="36"/>
      <c r="F29" s="36"/>
    </row>
    <row r="30" customFormat="false" ht="15" hidden="false" customHeight="true" outlineLevel="0" collapsed="false">
      <c r="A30" s="36" t="s">
        <v>293</v>
      </c>
      <c r="B30" s="36"/>
      <c r="C30" s="36"/>
      <c r="D30" s="36"/>
      <c r="E30" s="36"/>
      <c r="F30" s="36"/>
    </row>
    <row r="31" customFormat="false" ht="15" hidden="false" customHeight="true" outlineLevel="0" collapsed="false">
      <c r="A31" s="36" t="s">
        <v>294</v>
      </c>
      <c r="B31" s="36"/>
      <c r="C31" s="36"/>
      <c r="D31" s="36"/>
      <c r="E31" s="36"/>
      <c r="F31" s="36"/>
    </row>
    <row r="32" customFormat="false" ht="15" hidden="false" customHeight="true" outlineLevel="0" collapsed="false">
      <c r="A32" s="36" t="s">
        <v>295</v>
      </c>
      <c r="B32" s="36"/>
      <c r="C32" s="36"/>
      <c r="D32" s="36"/>
      <c r="E32" s="36"/>
      <c r="F32" s="36"/>
    </row>
    <row r="33" customFormat="false" ht="15" hidden="false" customHeight="true" outlineLevel="0" collapsed="false">
      <c r="A33" s="36" t="s">
        <v>296</v>
      </c>
      <c r="B33" s="36"/>
      <c r="C33" s="36"/>
      <c r="D33" s="36"/>
      <c r="E33" s="36"/>
      <c r="F33" s="36"/>
    </row>
  </sheetData>
  <mergeCells count="12">
    <mergeCell ref="A1:F1"/>
    <mergeCell ref="A2:F2"/>
    <mergeCell ref="B22:F22"/>
    <mergeCell ref="B23:F23"/>
    <mergeCell ref="B24:F24"/>
    <mergeCell ref="B25:F25"/>
    <mergeCell ref="A28:F28"/>
    <mergeCell ref="A29:F29"/>
    <mergeCell ref="A30:F30"/>
    <mergeCell ref="A31:F31"/>
    <mergeCell ref="A32:F32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2026-09-03T09:06:23Z</dcterms:created>
  <dc:creator>openpyxl</dc:creator>
  <dc:description/>
  <dc:language>en-US</dc:language>
  <cp:lastModifiedBy/>
  <dcterms:modified xsi:type="dcterms:W3CDTF">2026-09-03T09:10:32Z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